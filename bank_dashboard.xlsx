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ccounts" sheetId="2" state="visible" r:id="rId4"/>
    <sheet name="Transactions" sheetId="3" state="visible" r:id="rId5"/>
    <sheet name="Cal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<sst xmlns="http://schemas.openxmlformats.org/spreadsheetml/2006/main" count="1730" uniqueCount="267">
  <si>
    <t xml:space="preserve">  PALESTINE INVESTMENT BANK  —  Performance Dashboard</t>
  </si>
  <si>
    <t xml:space="preserve">Total Deposits</t>
  </si>
  <si>
    <t xml:space="preserve">Total Loans</t>
  </si>
  <si>
    <t xml:space="preserve">Total Accounts</t>
  </si>
  <si>
    <t xml:space="preserve">Active Accounts</t>
  </si>
  <si>
    <t xml:space="preserve">Balance by Branch</t>
  </si>
  <si>
    <t xml:space="preserve">Balance by Account Type</t>
  </si>
  <si>
    <t xml:space="preserve">Monthly Deposits vs Withdrawals</t>
  </si>
  <si>
    <t xml:space="preserve">Accounts by Segment</t>
  </si>
  <si>
    <t xml:space="preserve">Loan-to-Deposit Ratio (LDR) by Branch</t>
  </si>
  <si>
    <t xml:space="preserve">Overall Loan-to-Deposit Ratio</t>
  </si>
  <si>
    <t xml:space="preserve">Account ID</t>
  </si>
  <si>
    <t xml:space="preserve">Customer</t>
  </si>
  <si>
    <t xml:space="preserve">Branch</t>
  </si>
  <si>
    <t xml:space="preserve">Segment</t>
  </si>
  <si>
    <t xml:space="preserve">Account Type</t>
  </si>
  <si>
    <t xml:space="preserve">Open Date</t>
  </si>
  <si>
    <t xml:space="preserve">Balance ($)</t>
  </si>
  <si>
    <t xml:space="preserve">Status</t>
  </si>
  <si>
    <t xml:space="preserve">Tariq Najjar</t>
  </si>
  <si>
    <t xml:space="preserve">Tulkarm</t>
  </si>
  <si>
    <t xml:space="preserve">Retail</t>
  </si>
  <si>
    <t xml:space="preserve">Current</t>
  </si>
  <si>
    <t xml:space="preserve">Active</t>
  </si>
  <si>
    <t xml:space="preserve">Omar Khalil</t>
  </si>
  <si>
    <t xml:space="preserve">Nablus</t>
  </si>
  <si>
    <t xml:space="preserve">Fixed Deposit</t>
  </si>
  <si>
    <t xml:space="preserve">Adel Daoud</t>
  </si>
  <si>
    <t xml:space="preserve">Jenin</t>
  </si>
  <si>
    <t xml:space="preserve">Faris Shahin</t>
  </si>
  <si>
    <t xml:space="preserve">SME</t>
  </si>
  <si>
    <t xml:space="preserve">Savings</t>
  </si>
  <si>
    <t xml:space="preserve">Yousef Zaid</t>
  </si>
  <si>
    <t xml:space="preserve">Loan</t>
  </si>
  <si>
    <t xml:space="preserve">Yousef Hassan</t>
  </si>
  <si>
    <t xml:space="preserve">Hebron</t>
  </si>
  <si>
    <t xml:space="preserve">Salma Qasem</t>
  </si>
  <si>
    <t xml:space="preserve">Ramallah</t>
  </si>
  <si>
    <t xml:space="preserve">Dina Saleh</t>
  </si>
  <si>
    <t xml:space="preserve">Dina Younes</t>
  </si>
  <si>
    <t xml:space="preserve">Hala Hassan</t>
  </si>
  <si>
    <t xml:space="preserve">Rana Salameh</t>
  </si>
  <si>
    <t xml:space="preserve">Adel Barghouti</t>
  </si>
  <si>
    <t xml:space="preserve">Bethlehem</t>
  </si>
  <si>
    <t xml:space="preserve">Nour Salameh</t>
  </si>
  <si>
    <t xml:space="preserve">Faris Khoury</t>
  </si>
  <si>
    <t xml:space="preserve">Sara Awad</t>
  </si>
  <si>
    <t xml:space="preserve">Sami Daoud</t>
  </si>
  <si>
    <t xml:space="preserve">Khaled Issa</t>
  </si>
  <si>
    <t xml:space="preserve">Dormant</t>
  </si>
  <si>
    <t xml:space="preserve">Maha Zaid</t>
  </si>
  <si>
    <t xml:space="preserve">Wael Shahin</t>
  </si>
  <si>
    <t xml:space="preserve">Corporate</t>
  </si>
  <si>
    <t xml:space="preserve">Tariq Hamdan</t>
  </si>
  <si>
    <t xml:space="preserve">Adel Najjar</t>
  </si>
  <si>
    <t xml:space="preserve">Faris Qasem</t>
  </si>
  <si>
    <t xml:space="preserve">Nidal Amer</t>
  </si>
  <si>
    <t xml:space="preserve">Salma Younes</t>
  </si>
  <si>
    <t xml:space="preserve">Lina Hamdan</t>
  </si>
  <si>
    <t xml:space="preserve">Rana Awad</t>
  </si>
  <si>
    <t xml:space="preserve">Yousef Hamdan</t>
  </si>
  <si>
    <t xml:space="preserve">Adel Amer</t>
  </si>
  <si>
    <t xml:space="preserve">Lara Younes</t>
  </si>
  <si>
    <t xml:space="preserve">Khaled Daoud</t>
  </si>
  <si>
    <t xml:space="preserve">Sara Hassan</t>
  </si>
  <si>
    <t xml:space="preserve">Bashar Najjar</t>
  </si>
  <si>
    <t xml:space="preserve">Hala Hamdan</t>
  </si>
  <si>
    <t xml:space="preserve">Nour Saleh</t>
  </si>
  <si>
    <t xml:space="preserve">Yousef Rabah</t>
  </si>
  <si>
    <t xml:space="preserve">Salma Issa</t>
  </si>
  <si>
    <t xml:space="preserve">Reem Najjar</t>
  </si>
  <si>
    <t xml:space="preserve">Lara Khoury</t>
  </si>
  <si>
    <t xml:space="preserve">Nidal Saleh</t>
  </si>
  <si>
    <t xml:space="preserve">Sami Khoury</t>
  </si>
  <si>
    <t xml:space="preserve">Yousef Najjar</t>
  </si>
  <si>
    <t xml:space="preserve">Rana Shahin</t>
  </si>
  <si>
    <t xml:space="preserve">Lina Daoud</t>
  </si>
  <si>
    <t xml:space="preserve">Khaled Amer</t>
  </si>
  <si>
    <t xml:space="preserve">Maha Younes</t>
  </si>
  <si>
    <t xml:space="preserve">Sami Zaid</t>
  </si>
  <si>
    <t xml:space="preserve">Khaled Masri</t>
  </si>
  <si>
    <t xml:space="preserve">Tariq Barghouti</t>
  </si>
  <si>
    <t xml:space="preserve">Rana Amer</t>
  </si>
  <si>
    <t xml:space="preserve">Hala Khalil</t>
  </si>
  <si>
    <t xml:space="preserve">Yousef Khoury</t>
  </si>
  <si>
    <t xml:space="preserve">Reem Rabah</t>
  </si>
  <si>
    <t xml:space="preserve">Rana Zaid</t>
  </si>
  <si>
    <t xml:space="preserve">Sami Issa</t>
  </si>
  <si>
    <t xml:space="preserve">Rana Daoud</t>
  </si>
  <si>
    <t xml:space="preserve">Sami Hassan</t>
  </si>
  <si>
    <t xml:space="preserve">Lina Ewaida</t>
  </si>
  <si>
    <t xml:space="preserve">Sami Odeh</t>
  </si>
  <si>
    <t xml:space="preserve">Lina Amer</t>
  </si>
  <si>
    <t xml:space="preserve">Reem Odeh</t>
  </si>
  <si>
    <t xml:space="preserve">Tariq Masri</t>
  </si>
  <si>
    <t xml:space="preserve">Lara Najjar</t>
  </si>
  <si>
    <t xml:space="preserve">Wael Issa</t>
  </si>
  <si>
    <t xml:space="preserve">Lara Barghouti</t>
  </si>
  <si>
    <t xml:space="preserve">Lina Najjar</t>
  </si>
  <si>
    <t xml:space="preserve">Sara Rabah</t>
  </si>
  <si>
    <t xml:space="preserve">Adel Younes</t>
  </si>
  <si>
    <t xml:space="preserve">Reem Shahin</t>
  </si>
  <si>
    <t xml:space="preserve">Wael Younes</t>
  </si>
  <si>
    <t xml:space="preserve">Faris Najjar</t>
  </si>
  <si>
    <t xml:space="preserve">Hala Shahin</t>
  </si>
  <si>
    <t xml:space="preserve">Lina Salameh</t>
  </si>
  <si>
    <t xml:space="preserve">Maha Salameh</t>
  </si>
  <si>
    <t xml:space="preserve">Khaled Khoury</t>
  </si>
  <si>
    <t xml:space="preserve">Rana Saleh</t>
  </si>
  <si>
    <t xml:space="preserve">Wael Awad</t>
  </si>
  <si>
    <t xml:space="preserve">Faris Zaid</t>
  </si>
  <si>
    <t xml:space="preserve">Dina Khoury</t>
  </si>
  <si>
    <t xml:space="preserve">Dina Shahin</t>
  </si>
  <si>
    <t xml:space="preserve">Salma Khoury</t>
  </si>
  <si>
    <t xml:space="preserve">Adel Khalil</t>
  </si>
  <si>
    <t xml:space="preserve">Tariq Salameh</t>
  </si>
  <si>
    <t xml:space="preserve">Adel Shahin</t>
  </si>
  <si>
    <t xml:space="preserve">Hala Awad</t>
  </si>
  <si>
    <t xml:space="preserve">Sami Khalil</t>
  </si>
  <si>
    <t xml:space="preserve">Khaled Hamdan</t>
  </si>
  <si>
    <t xml:space="preserve">Salma Hamdan</t>
  </si>
  <si>
    <t xml:space="preserve">Sami Rabah</t>
  </si>
  <si>
    <t xml:space="preserve">Rana Qasem</t>
  </si>
  <si>
    <t xml:space="preserve">Sara Daoud</t>
  </si>
  <si>
    <t xml:space="preserve">Sami Amer</t>
  </si>
  <si>
    <t xml:space="preserve">Yousef Amer</t>
  </si>
  <si>
    <t xml:space="preserve">Lara Saleh</t>
  </si>
  <si>
    <t xml:space="preserve">Tariq Rabah</t>
  </si>
  <si>
    <t xml:space="preserve">Omar Masri</t>
  </si>
  <si>
    <t xml:space="preserve">Bashar Saleh</t>
  </si>
  <si>
    <t xml:space="preserve">Faris Salameh</t>
  </si>
  <si>
    <t xml:space="preserve">Hala Barghouti</t>
  </si>
  <si>
    <t xml:space="preserve">Lara Hamdan</t>
  </si>
  <si>
    <t xml:space="preserve">Bashar Awad</t>
  </si>
  <si>
    <t xml:space="preserve">Bashar Odeh</t>
  </si>
  <si>
    <t xml:space="preserve">Lina Barghouti</t>
  </si>
  <si>
    <t xml:space="preserve">Sami Ewaida</t>
  </si>
  <si>
    <t xml:space="preserve">Adel Salameh</t>
  </si>
  <si>
    <t xml:space="preserve">Rana Odeh</t>
  </si>
  <si>
    <t xml:space="preserve">Reem Hassan</t>
  </si>
  <si>
    <t xml:space="preserve">Nour Rabah</t>
  </si>
  <si>
    <t xml:space="preserve">Sara Najjar</t>
  </si>
  <si>
    <t xml:space="preserve">Hala Khoury</t>
  </si>
  <si>
    <t xml:space="preserve">Lara Masri</t>
  </si>
  <si>
    <t xml:space="preserve">Nidal Daoud</t>
  </si>
  <si>
    <t xml:space="preserve">Khaled Saleh</t>
  </si>
  <si>
    <t xml:space="preserve">Maha Odeh</t>
  </si>
  <si>
    <t xml:space="preserve">Adel Masri</t>
  </si>
  <si>
    <t xml:space="preserve">Dina Amer</t>
  </si>
  <si>
    <t xml:space="preserve">Reem Barghouti</t>
  </si>
  <si>
    <t xml:space="preserve">Bashar Ewaida</t>
  </si>
  <si>
    <t xml:space="preserve">Wael Barghouti</t>
  </si>
  <si>
    <t xml:space="preserve">Sami Shahin</t>
  </si>
  <si>
    <t xml:space="preserve">Nour Barghouti</t>
  </si>
  <si>
    <t xml:space="preserve">Reem Younes</t>
  </si>
  <si>
    <t xml:space="preserve">Dina Rabah</t>
  </si>
  <si>
    <t xml:space="preserve">Sara Khoury</t>
  </si>
  <si>
    <t xml:space="preserve">Lara Ewaida</t>
  </si>
  <si>
    <t xml:space="preserve">Yousef Awad</t>
  </si>
  <si>
    <t xml:space="preserve">Wael Daoud</t>
  </si>
  <si>
    <t xml:space="preserve">Tariq Zaid</t>
  </si>
  <si>
    <t xml:space="preserve">Omar Hassan</t>
  </si>
  <si>
    <t xml:space="preserve">Rana Khoury</t>
  </si>
  <si>
    <t xml:space="preserve">Hala Najjar</t>
  </si>
  <si>
    <t xml:space="preserve">Yousef Saleh</t>
  </si>
  <si>
    <t xml:space="preserve">Wael Hamdan</t>
  </si>
  <si>
    <t xml:space="preserve">Bashar Hassan</t>
  </si>
  <si>
    <t xml:space="preserve">Reem Khoury</t>
  </si>
  <si>
    <t xml:space="preserve">Yousef Younes</t>
  </si>
  <si>
    <t xml:space="preserve">Lara Hassan</t>
  </si>
  <si>
    <t xml:space="preserve">Faris Hamdan</t>
  </si>
  <si>
    <t xml:space="preserve">Salma Odeh</t>
  </si>
  <si>
    <t xml:space="preserve">Maha Khalil</t>
  </si>
  <si>
    <t xml:space="preserve">Nidal Ewaida</t>
  </si>
  <si>
    <t xml:space="preserve">Faris Barghouti</t>
  </si>
  <si>
    <t xml:space="preserve">Salma Salameh</t>
  </si>
  <si>
    <t xml:space="preserve">Sara Qasem</t>
  </si>
  <si>
    <t xml:space="preserve">Yousef Khalil</t>
  </si>
  <si>
    <t xml:space="preserve">Nour Younes</t>
  </si>
  <si>
    <t xml:space="preserve">Sara Amer</t>
  </si>
  <si>
    <t xml:space="preserve">Faris Ewaida</t>
  </si>
  <si>
    <t xml:space="preserve">Lara Zaid</t>
  </si>
  <si>
    <t xml:space="preserve">Reem Ewaida</t>
  </si>
  <si>
    <t xml:space="preserve">Yousef Issa</t>
  </si>
  <si>
    <t xml:space="preserve">Tariq Awad</t>
  </si>
  <si>
    <t xml:space="preserve">Lina Masri</t>
  </si>
  <si>
    <t xml:space="preserve">Sami Barghouti</t>
  </si>
  <si>
    <t xml:space="preserve">Omar Zaid</t>
  </si>
  <si>
    <t xml:space="preserve">Hala Saleh</t>
  </si>
  <si>
    <t xml:space="preserve">Nour Khoury</t>
  </si>
  <si>
    <t xml:space="preserve">Lina Rabah</t>
  </si>
  <si>
    <t xml:space="preserve">Maha Khoury</t>
  </si>
  <si>
    <t xml:space="preserve">Maha Issa</t>
  </si>
  <si>
    <t xml:space="preserve">Khaled Qasem</t>
  </si>
  <si>
    <t xml:space="preserve">Sami Awad</t>
  </si>
  <si>
    <t xml:space="preserve">Nidal Rabah</t>
  </si>
  <si>
    <t xml:space="preserve">Faris Masri</t>
  </si>
  <si>
    <t xml:space="preserve">Nidal Younes</t>
  </si>
  <si>
    <t xml:space="preserve">Khaled Barghouti</t>
  </si>
  <si>
    <t xml:space="preserve">Lina Zaid</t>
  </si>
  <si>
    <t xml:space="preserve">Maha Najjar</t>
  </si>
  <si>
    <t xml:space="preserve">Wael Amer</t>
  </si>
  <si>
    <t xml:space="preserve">Lina Issa</t>
  </si>
  <si>
    <t xml:space="preserve">Sara Zaid</t>
  </si>
  <si>
    <t xml:space="preserve">Bashar Masri</t>
  </si>
  <si>
    <t xml:space="preserve">Rana Hamdan</t>
  </si>
  <si>
    <t xml:space="preserve">Bashar Barghouti</t>
  </si>
  <si>
    <t xml:space="preserve">Hala Masri</t>
  </si>
  <si>
    <t xml:space="preserve">Faris Saleh</t>
  </si>
  <si>
    <t xml:space="preserve">Reem Zaid</t>
  </si>
  <si>
    <t xml:space="preserve">Omar Khoury</t>
  </si>
  <si>
    <t xml:space="preserve">Salma Najjar</t>
  </si>
  <si>
    <t xml:space="preserve">Khaled Salameh</t>
  </si>
  <si>
    <t xml:space="preserve">Lina Younes</t>
  </si>
  <si>
    <t xml:space="preserve">Khaled Zaid</t>
  </si>
  <si>
    <t xml:space="preserve">Lina Saleh</t>
  </si>
  <si>
    <t xml:space="preserve">Salma Saleh</t>
  </si>
  <si>
    <t xml:space="preserve">Nidal Najjar</t>
  </si>
  <si>
    <t xml:space="preserve">Nour Hamdan</t>
  </si>
  <si>
    <t xml:space="preserve">Nidal Issa</t>
  </si>
  <si>
    <t xml:space="preserve">Maha Ewaida</t>
  </si>
  <si>
    <t xml:space="preserve">Wael Khalil</t>
  </si>
  <si>
    <t xml:space="preserve">Tariq Hassan</t>
  </si>
  <si>
    <t xml:space="preserve">Lara Qasem</t>
  </si>
  <si>
    <t xml:space="preserve">Nour Amer</t>
  </si>
  <si>
    <t xml:space="preserve">Lara Odeh</t>
  </si>
  <si>
    <t xml:space="preserve">Lina Hassan</t>
  </si>
  <si>
    <t xml:space="preserve">Maha Qasem</t>
  </si>
  <si>
    <t xml:space="preserve">Bashar Issa</t>
  </si>
  <si>
    <t xml:space="preserve">Yousef Daoud</t>
  </si>
  <si>
    <t xml:space="preserve">Wael Hassan</t>
  </si>
  <si>
    <t xml:space="preserve">Rana Khalil</t>
  </si>
  <si>
    <t xml:space="preserve">Wael Salameh</t>
  </si>
  <si>
    <t xml:space="preserve">Bashar Qasem</t>
  </si>
  <si>
    <t xml:space="preserve">Sara Younes</t>
  </si>
  <si>
    <t xml:space="preserve">Rana Ewaida</t>
  </si>
  <si>
    <t xml:space="preserve">Tariq Younes</t>
  </si>
  <si>
    <t xml:space="preserve">Adel Issa</t>
  </si>
  <si>
    <t xml:space="preserve">Nour Shahin</t>
  </si>
  <si>
    <t xml:space="preserve">Tariq Khalil</t>
  </si>
  <si>
    <t xml:space="preserve">Salma Rabah</t>
  </si>
  <si>
    <t xml:space="preserve">Yousef Ewaida</t>
  </si>
  <si>
    <t xml:space="preserve">Wael Zaid</t>
  </si>
  <si>
    <t xml:space="preserve">Faris Amer</t>
  </si>
  <si>
    <t xml:space="preserve">Khaled Najjar</t>
  </si>
  <si>
    <t xml:space="preserve">Nidal Awad</t>
  </si>
  <si>
    <t xml:space="preserve">Sara Ewaida</t>
  </si>
  <si>
    <t xml:space="preserve">Tariq Amer</t>
  </si>
  <si>
    <t xml:space="preserve">Adel Qasem</t>
  </si>
  <si>
    <t xml:space="preserve">Hala Rabah</t>
  </si>
  <si>
    <t xml:space="preserve">Nour Odeh</t>
  </si>
  <si>
    <t xml:space="preserve">Faris Younes</t>
  </si>
  <si>
    <t xml:space="preserve">Hala Daoud</t>
  </si>
  <si>
    <t xml:space="preserve">Tariq Ewaida</t>
  </si>
  <si>
    <t xml:space="preserve">Wael Khoury</t>
  </si>
  <si>
    <t xml:space="preserve">Yousef Salameh</t>
  </si>
  <si>
    <t xml:space="preserve">Month</t>
  </si>
  <si>
    <t xml:space="preserve">Deposits ($)</t>
  </si>
  <si>
    <t xml:space="preserve">Withdrawals ($)</t>
  </si>
  <si>
    <t xml:space="preserve">Net Flow ($)</t>
  </si>
  <si>
    <t xml:space="preserve"># Transactions</t>
  </si>
  <si>
    <t xml:space="preserve">Total Balance</t>
  </si>
  <si>
    <t xml:space="preserve">Accounts</t>
  </si>
  <si>
    <t xml:space="preserve">Deposits</t>
  </si>
  <si>
    <t xml:space="preserve">Withdrawals</t>
  </si>
  <si>
    <t xml:space="preserve">Loans</t>
  </si>
  <si>
    <t xml:space="preserve">LDR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</si>
</sst>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#,##0"/>
    <numFmt numFmtId="167" formatCode="0.0%"/>
    <numFmt numFmtId="168" formatCode="0%"/>
    <numFmt numFmtId="169" formatCode="yyyy\-mm\-dd"/>
    <numFmt numFmtId="170" formatCode="\$#,##0;&quot;($&quot;#,##0\);\-"/>
    <numFmt numFmtId="171" formatCode="mmm\ yyyy"/>
    <numFmt numFmtId="172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F2D5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sz val="10"/>
      <color rgb="FF000000"/>
      <name val="Calibri"/>
      <family val="2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2D52"/>
        <bgColor rgb="FF1B3A66"/>
      </patternFill>
    </fill>
    <fill>
      <patternFill patternType="solid">
        <fgColor rgb="FFE8537A"/>
        <bgColor rgb="FFC0504D"/>
      </patternFill>
    </fill>
    <fill>
      <patternFill patternType="solid">
        <fgColor rgb="FF4C8BF5"/>
        <bgColor rgb="FF4F81BD"/>
      </patternFill>
    </fill>
    <fill>
      <patternFill patternType="solid">
        <fgColor rgb="FF1B3A66"/>
        <bgColor rgb="FF0F2D5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4C8BF5"/>
      <rgbColor rgb="FFBE4B48"/>
      <rgbColor rgb="FFFFFFCC"/>
      <rgbColor rgb="FFCCFFFF"/>
      <rgbColor rgb="FF660066"/>
      <rgbColor rgb="FFE8537A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F2D52"/>
      <rgbColor rgb="FF4F81BD"/>
      <rgbColor rgb="FF003300"/>
      <rgbColor rgb="FF333300"/>
      <rgbColor rgb="FF993300"/>
      <rgbColor rgb="FFC0504D"/>
      <rgbColor rgb="FF1B3A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Calc!B1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Calc!$A$2:$A$7</c:f>
              <c:strCache>
                <c:ptCount val="6"/>
                <c:pt idx="0">
                  <c:v>Ramallah</c:v>
                </c:pt>
                <c:pt idx="1">
                  <c:v>Nablus</c:v>
                </c:pt>
                <c:pt idx="2">
                  <c:v>Hebron</c:v>
                </c:pt>
                <c:pt idx="3">
                  <c:v>Bethlehem</c:v>
                </c:pt>
                <c:pt idx="4">
                  <c:v>Jenin</c:v>
                </c:pt>
                <c:pt idx="5">
                  <c:v>Tulkarm</c:v>
                </c:pt>
              </c:strCache>
            </c:strRef>
          </c:cat>
          <c:val>
            <c:numRef>
              <c:f>Calc!$B$2:$B$7</c:f>
              <c:numCache>
                <c:formatCode>\$#,##0</c:formatCode>
                <c:ptCount val="6"/>
                <c:pt idx="0">
                  <c:v>5659000</c:v>
                </c:pt>
                <c:pt idx="1">
                  <c:v>6747000</c:v>
                </c:pt>
                <c:pt idx="2">
                  <c:v>4439000</c:v>
                </c:pt>
                <c:pt idx="3">
                  <c:v>5194000</c:v>
                </c:pt>
                <c:pt idx="4">
                  <c:v>4433000</c:v>
                </c:pt>
                <c:pt idx="5">
                  <c:v>4589000</c:v>
                </c:pt>
              </c:numCache>
            </c:numRef>
          </c:val>
        </c:ser>
        <c:gapWidth val="150"/>
        <c:overlap val="0"/>
        <c:axId val="69621882"/>
        <c:axId val="60952021"/>
      </c:barChart>
      <c:catAx>
        <c:axId val="696218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52021"/>
        <c:crosses val="autoZero"/>
        <c:auto val="1"/>
        <c:lblAlgn val="ctr"/>
        <c:lblOffset val="100"/>
        <c:noMultiLvlLbl val="0"/>
      </c:catAx>
      <c:valAx>
        <c:axId val="60952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218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Calc!F1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Calc!$E$2:$E$5</c:f>
              <c:strCache>
                <c:ptCount val="4"/>
                <c:pt idx="0">
                  <c:v>Savings</c:v>
                </c:pt>
                <c:pt idx="1">
                  <c:v>Current</c:v>
                </c:pt>
                <c:pt idx="2">
                  <c:v>Fixed Deposit</c:v>
                </c:pt>
                <c:pt idx="3">
                  <c:v>Loan</c:v>
                </c:pt>
              </c:strCache>
            </c:strRef>
          </c:cat>
          <c:val>
            <c:numRef>
              <c:f>Calc!$F$2:$F$5</c:f>
              <c:numCache>
                <c:formatCode>\$#,##0</c:formatCode>
                <c:ptCount val="4"/>
                <c:pt idx="0">
                  <c:v>18958000</c:v>
                </c:pt>
                <c:pt idx="1">
                  <c:v>9852000</c:v>
                </c:pt>
                <c:pt idx="2">
                  <c:v>9563000</c:v>
                </c:pt>
                <c:pt idx="3">
                  <c:v>-7312000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Calc!L1</c:f>
              <c:strCache>
                <c:ptCount val="1"/>
                <c:pt idx="0">
                  <c:v>Deposits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Calc!$K$2:$K$13</c:f>
              <c:strCache>
                <c:ptCount val="12"/>
                <c:pt idx="0">
                  <c:v>Jul 2024</c:v>
                </c:pt>
                <c:pt idx="1">
                  <c:v>Aug 2024</c:v>
                </c:pt>
                <c:pt idx="2">
                  <c:v>Sep 2024</c:v>
                </c:pt>
                <c:pt idx="3">
                  <c:v>Oct 2024</c:v>
                </c:pt>
                <c:pt idx="4">
                  <c:v>Nov 2024</c:v>
                </c:pt>
                <c:pt idx="5">
                  <c:v>Dec 2024</c:v>
                </c:pt>
                <c:pt idx="6">
                  <c:v>Jan 2025</c:v>
                </c:pt>
                <c:pt idx="7">
                  <c:v>Feb 2025</c:v>
                </c:pt>
                <c:pt idx="8">
                  <c:v>Mar 2025</c:v>
                </c:pt>
                <c:pt idx="9">
                  <c:v>Apr 2025</c:v>
                </c:pt>
                <c:pt idx="10">
                  <c:v>May 2025</c:v>
                </c:pt>
                <c:pt idx="11">
                  <c:v>Jun 2025</c:v>
                </c:pt>
              </c:strCache>
            </c:strRef>
          </c:cat>
          <c:val>
            <c:numRef>
              <c:f>Calc!$L$2:$L$13</c:f>
              <c:numCache>
                <c:formatCode>\$#,##0</c:formatCode>
                <c:ptCount val="12"/>
                <c:pt idx="0">
                  <c:v>13378000</c:v>
                </c:pt>
                <c:pt idx="1">
                  <c:v>10962000</c:v>
                </c:pt>
                <c:pt idx="2">
                  <c:v>10551000</c:v>
                </c:pt>
                <c:pt idx="3">
                  <c:v>13716000</c:v>
                </c:pt>
                <c:pt idx="4">
                  <c:v>15678000</c:v>
                </c:pt>
                <c:pt idx="5">
                  <c:v>10936000</c:v>
                </c:pt>
                <c:pt idx="6">
                  <c:v>12791000</c:v>
                </c:pt>
                <c:pt idx="7">
                  <c:v>12327000</c:v>
                </c:pt>
                <c:pt idx="8">
                  <c:v>12073000</c:v>
                </c:pt>
                <c:pt idx="9">
                  <c:v>14835000</c:v>
                </c:pt>
                <c:pt idx="10">
                  <c:v>14178000</c:v>
                </c:pt>
                <c:pt idx="11">
                  <c:v>13039000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Calc!M1</c:f>
              <c:strCache>
                <c:ptCount val="1"/>
                <c:pt idx="0">
                  <c:v>Withdrawals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Calc!$K$2:$K$13</c:f>
              <c:strCache>
                <c:ptCount val="12"/>
                <c:pt idx="0">
                  <c:v>Jul 2024</c:v>
                </c:pt>
                <c:pt idx="1">
                  <c:v>Aug 2024</c:v>
                </c:pt>
                <c:pt idx="2">
                  <c:v>Sep 2024</c:v>
                </c:pt>
                <c:pt idx="3">
                  <c:v>Oct 2024</c:v>
                </c:pt>
                <c:pt idx="4">
                  <c:v>Nov 2024</c:v>
                </c:pt>
                <c:pt idx="5">
                  <c:v>Dec 2024</c:v>
                </c:pt>
                <c:pt idx="6">
                  <c:v>Jan 2025</c:v>
                </c:pt>
                <c:pt idx="7">
                  <c:v>Feb 2025</c:v>
                </c:pt>
                <c:pt idx="8">
                  <c:v>Mar 2025</c:v>
                </c:pt>
                <c:pt idx="9">
                  <c:v>Apr 2025</c:v>
                </c:pt>
                <c:pt idx="10">
                  <c:v>May 2025</c:v>
                </c:pt>
                <c:pt idx="11">
                  <c:v>Jun 2025</c:v>
                </c:pt>
              </c:strCache>
            </c:strRef>
          </c:cat>
          <c:val>
            <c:numRef>
              <c:f>Calc!$M$2:$M$13</c:f>
              <c:numCache>
                <c:formatCode>\$#,##0</c:formatCode>
                <c:ptCount val="12"/>
                <c:pt idx="0">
                  <c:v>11476000</c:v>
                </c:pt>
                <c:pt idx="1">
                  <c:v>11143000</c:v>
                </c:pt>
                <c:pt idx="2">
                  <c:v>9964000</c:v>
                </c:pt>
                <c:pt idx="3">
                  <c:v>11446000</c:v>
                </c:pt>
                <c:pt idx="4">
                  <c:v>11485000</c:v>
                </c:pt>
                <c:pt idx="5">
                  <c:v>12330000</c:v>
                </c:pt>
                <c:pt idx="6">
                  <c:v>10488000</c:v>
                </c:pt>
                <c:pt idx="7">
                  <c:v>12099000</c:v>
                </c:pt>
                <c:pt idx="8">
                  <c:v>9510000</c:v>
                </c:pt>
                <c:pt idx="9">
                  <c:v>11831000</c:v>
                </c:pt>
                <c:pt idx="10">
                  <c:v>10125000</c:v>
                </c:pt>
                <c:pt idx="11">
                  <c:v>13169000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93792"/>
        <c:axId val="65428500"/>
      </c:lineChart>
      <c:catAx>
        <c:axId val="26493792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28500"/>
        <c:crosses val="autoZero"/>
        <c:auto val="1"/>
        <c:lblAlgn val="ctr"/>
        <c:lblOffset val="100"/>
        <c:noMultiLvlLbl val="0"/>
      </c:catAx>
      <c:valAx>
        <c:axId val="65428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93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Calc!I1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Calc!$H$2:$H$4</c:f>
              <c:strCache>
                <c:ptCount val="3"/>
                <c:pt idx="0">
                  <c:v>Retail</c:v>
                </c:pt>
                <c:pt idx="1">
                  <c:v>SME</c:v>
                </c:pt>
                <c:pt idx="2">
                  <c:v>Corporate</c:v>
                </c:pt>
              </c:strCache>
            </c:strRef>
          </c:cat>
          <c:val>
            <c:numRef>
              <c:f>Calc!$I$2:$I$4</c:f>
              <c:numCache>
                <c:formatCode>General</c:formatCode>
                <c:ptCount val="3"/>
                <c:pt idx="0">
                  <c:v>179</c:v>
                </c:pt>
                <c:pt idx="1">
                  <c:v>93</c:v>
                </c:pt>
                <c:pt idx="2">
                  <c:v>48</c:v>
                </c:pt>
              </c:numCache>
            </c:numRef>
          </c:val>
        </c:ser>
        <c:gapWidth val="150"/>
        <c:overlap val="0"/>
        <c:axId val="21848443"/>
        <c:axId val="1086461"/>
      </c:barChart>
      <c:catAx>
        <c:axId val="218484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6461"/>
        <c:crosses val="autoZero"/>
        <c:auto val="1"/>
        <c:lblAlgn val="ctr"/>
        <c:lblOffset val="100"/>
        <c:noMultiLvlLbl val="0"/>
      </c:catAx>
      <c:valAx>
        <c:axId val="10864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484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Calc!R1</c:f>
              <c:strCache>
                <c:ptCount val="1"/>
                <c:pt idx="0">
                  <c:v>LDR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Calc!$O$2:$O$7</c:f>
              <c:strCache>
                <c:ptCount val="6"/>
                <c:pt idx="0">
                  <c:v>Ramallah</c:v>
                </c:pt>
                <c:pt idx="1">
                  <c:v>Nablus</c:v>
                </c:pt>
                <c:pt idx="2">
                  <c:v>Hebron</c:v>
                </c:pt>
                <c:pt idx="3">
                  <c:v>Bethlehem</c:v>
                </c:pt>
                <c:pt idx="4">
                  <c:v>Jenin</c:v>
                </c:pt>
                <c:pt idx="5">
                  <c:v>Tulkarm</c:v>
                </c:pt>
              </c:strCache>
            </c:strRef>
          </c:cat>
          <c:val>
            <c:numRef>
              <c:f>Calc!$R$2:$R$7</c:f>
              <c:numCache>
                <c:formatCode>0.0%</c:formatCode>
                <c:ptCount val="6"/>
                <c:pt idx="0">
                  <c:v>0.22648988518316</c:v>
                </c:pt>
                <c:pt idx="1">
                  <c:v>0.0872564935064935</c:v>
                </c:pt>
                <c:pt idx="2">
                  <c:v>0.105040322580645</c:v>
                </c:pt>
                <c:pt idx="3">
                  <c:v>0.188310673542741</c:v>
                </c:pt>
                <c:pt idx="4">
                  <c:v>0.245189851864465</c:v>
                </c:pt>
                <c:pt idx="5">
                  <c:v>0.286646976527281</c:v>
                </c:pt>
              </c:numCache>
            </c:numRef>
          </c:val>
        </c:ser>
        <c:gapWidth val="150"/>
        <c:overlap val="0"/>
        <c:axId val="95951416"/>
        <c:axId val="71998979"/>
      </c:barChart>
      <c:catAx>
        <c:axId val="9595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98979"/>
        <c:crosses val="autoZero"/>
        <c:auto val="1"/>
        <c:lblAlgn val="ctr"/>
        <c:lblOffset val="100"/>
        <c:noMultiLvlLbl val="0"/>
      </c:catAx>
      <c:valAx>
        <c:axId val="719989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514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442440</xdr:colOff>
      <xdr:row>21</xdr:row>
      <xdr:rowOff>114840</xdr:rowOff>
    </xdr:to>
    <xdr:graphicFrame>
      <xdr:nvGraphicFramePr>
        <xdr:cNvPr id="0" name="Chart 1"/>
        <xdr:cNvGraphicFramePr/>
      </xdr:nvGraphicFramePr>
      <xdr:xfrm>
        <a:off x="0" y="1743120"/>
        <a:ext cx="431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11</xdr:col>
      <xdr:colOff>497880</xdr:colOff>
      <xdr:row>21</xdr:row>
      <xdr:rowOff>114840</xdr:rowOff>
    </xdr:to>
    <xdr:graphicFrame>
      <xdr:nvGraphicFramePr>
        <xdr:cNvPr id="1" name="Chart 2"/>
        <xdr:cNvGraphicFramePr/>
      </xdr:nvGraphicFramePr>
      <xdr:xfrm>
        <a:off x="5427360" y="1743120"/>
        <a:ext cx="359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442440</xdr:colOff>
      <xdr:row>37</xdr:row>
      <xdr:rowOff>114840</xdr:rowOff>
    </xdr:to>
    <xdr:graphicFrame>
      <xdr:nvGraphicFramePr>
        <xdr:cNvPr id="2" name="Chart 3"/>
        <xdr:cNvGraphicFramePr/>
      </xdr:nvGraphicFramePr>
      <xdr:xfrm>
        <a:off x="0" y="4791240"/>
        <a:ext cx="431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11</xdr:col>
      <xdr:colOff>497880</xdr:colOff>
      <xdr:row>37</xdr:row>
      <xdr:rowOff>114840</xdr:rowOff>
    </xdr:to>
    <xdr:graphicFrame>
      <xdr:nvGraphicFramePr>
        <xdr:cNvPr id="3" name="Chart 4"/>
        <xdr:cNvGraphicFramePr/>
      </xdr:nvGraphicFramePr>
      <xdr:xfrm>
        <a:off x="5427360" y="4791240"/>
        <a:ext cx="359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5</xdr:col>
      <xdr:colOff>442800</xdr:colOff>
      <xdr:row>54</xdr:row>
      <xdr:rowOff>114840</xdr:rowOff>
    </xdr:to>
    <xdr:graphicFrame>
      <xdr:nvGraphicFramePr>
        <xdr:cNvPr id="4" name="Chart 5"/>
        <xdr:cNvGraphicFramePr/>
      </xdr:nvGraphicFramePr>
      <xdr:xfrm>
        <a:off x="0" y="8029440"/>
        <a:ext cx="43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8" hidden="false" customHeight="true" outlineLevel="0" collapsed="false">
      <c r="A4" s="3" t="s">
        <v>1</v>
      </c>
      <c r="B4" s="3"/>
      <c r="C4" s="3"/>
      <c r="D4" s="4" t="s">
        <v>2</v>
      </c>
      <c r="E4" s="4"/>
      <c r="F4" s="4"/>
      <c r="G4" s="5" t="s">
        <v>3</v>
      </c>
      <c r="H4" s="5"/>
      <c r="I4" s="5"/>
      <c r="J4" s="5" t="s">
        <v>4</v>
      </c>
      <c r="K4" s="5"/>
      <c r="L4" s="5"/>
    </row>
    <row r="5" customFormat="false" ht="13.5" hidden="false" customHeight="true" outlineLevel="0" collapsed="false">
      <c r="A5" s="6" t="n">
        <f aca="false">SUMIFS(Accounts!G:G,Accounts!G:G,"&gt;0")</f>
        <v>38373000</v>
      </c>
      <c r="B5" s="6"/>
      <c r="C5" s="6"/>
      <c r="D5" s="7" t="n">
        <f aca="false">-SUMIFS(Accounts!G:G,Accounts!E:E,"Loan")</f>
        <v>7312000</v>
      </c>
      <c r="E5" s="7"/>
      <c r="F5" s="7"/>
      <c r="G5" s="8" t="n">
        <f aca="false">COUNTA(Accounts!A:A)-1</f>
        <v>320</v>
      </c>
      <c r="H5" s="8"/>
      <c r="I5" s="8"/>
      <c r="J5" s="8" t="n">
        <f aca="false">COUNTIFS(Accounts!H:H,"Active")</f>
        <v>289</v>
      </c>
      <c r="K5" s="8"/>
      <c r="L5" s="8"/>
    </row>
    <row r="6" customFormat="false" ht="21.75" hidden="false" customHeight="true" outlineLevel="0" collapsed="false">
      <c r="A6" s="6"/>
      <c r="B6" s="6"/>
      <c r="C6" s="6"/>
      <c r="D6" s="7"/>
      <c r="E6" s="7"/>
      <c r="F6" s="7"/>
      <c r="G6" s="8"/>
      <c r="H6" s="8"/>
      <c r="I6" s="8"/>
      <c r="J6" s="8"/>
      <c r="K6" s="8"/>
      <c r="L6" s="8"/>
    </row>
    <row r="8" customFormat="false" ht="15" hidden="false" customHeight="true" outlineLevel="0" collapsed="false">
      <c r="A8" s="9" t="s">
        <v>5</v>
      </c>
      <c r="H8" s="9" t="s">
        <v>6</v>
      </c>
    </row>
    <row r="24" customFormat="false" ht="15" hidden="false" customHeight="true" outlineLevel="0" collapsed="false">
      <c r="A24" s="9" t="s">
        <v>7</v>
      </c>
      <c r="H24" s="9" t="s">
        <v>8</v>
      </c>
    </row>
    <row r="41" customFormat="false" ht="15" hidden="false" customHeight="false" outlineLevel="0" collapsed="false">
      <c r="A41" s="10" t="s">
        <v>9</v>
      </c>
    </row>
    <row r="42" customFormat="false" ht="15" hidden="false" customHeight="false" outlineLevel="0" collapsed="false">
      <c r="H42" s="11" t="s">
        <v>10</v>
      </c>
      <c r="I42" s="11"/>
      <c r="J42" s="11"/>
      <c r="K42" s="11"/>
      <c r="L42" s="11"/>
    </row>
    <row r="43" customFormat="false" ht="15" hidden="false" customHeight="false" outlineLevel="0" collapsed="false">
      <c r="H43" s="12" t="n">
        <f aca="false">-SUMIFS(Accounts!G:G,Accounts!E:E,"Loan")/SUMIFS(Accounts!G:G,Accounts!G:G,"&gt;0")</f>
        <v>0.190550647590754</v>
      </c>
      <c r="I43" s="12"/>
      <c r="J43" s="12"/>
      <c r="K43" s="12"/>
      <c r="L43" s="12"/>
    </row>
    <row r="44" customFormat="false" ht="15" hidden="false" customHeight="false" outlineLevel="0" collapsed="false">
      <c r="H44" s="12"/>
      <c r="I44" s="12"/>
      <c r="J44" s="12"/>
      <c r="K44" s="12"/>
      <c r="L44" s="12"/>
    </row>
    <row r="45" customFormat="false" ht="15" hidden="false" customHeight="false" outlineLevel="0" collapsed="false">
      <c r="H45" s="12"/>
      <c r="I45" s="12"/>
      <c r="J45" s="12"/>
      <c r="K45" s="12"/>
      <c r="L45" s="12"/>
    </row>
  </sheetData>
  <mergeCells count="11">
    <mergeCell ref="A1:M2"/>
    <mergeCell ref="A4:C4"/>
    <mergeCell ref="D4:F4"/>
    <mergeCell ref="G4:I4"/>
    <mergeCell ref="J4:L4"/>
    <mergeCell ref="A5:C6"/>
    <mergeCell ref="D5:F6"/>
    <mergeCell ref="G5:I6"/>
    <mergeCell ref="J5:L6"/>
    <mergeCell ref="H42:L42"/>
    <mergeCell ref="H43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</cols>
  <sheetData>
    <row r="1" customFormat="false" ht="15" hidden="false" customHeight="true" outlineLevel="0" collapsed="false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</row>
    <row r="2" customFormat="false" ht="15" hidden="false" customHeight="true" outlineLevel="0" collapsed="false">
      <c r="A2" s="14" t="n">
        <v>1000</v>
      </c>
      <c r="B2" s="14" t="s">
        <v>19</v>
      </c>
      <c r="C2" s="14" t="s">
        <v>20</v>
      </c>
      <c r="D2" s="14" t="s">
        <v>21</v>
      </c>
      <c r="E2" s="14" t="s">
        <v>22</v>
      </c>
      <c r="F2" s="15" t="n">
        <v>44104</v>
      </c>
      <c r="G2" s="16" t="n">
        <v>18000</v>
      </c>
      <c r="H2" s="14" t="s">
        <v>23</v>
      </c>
    </row>
    <row r="3" customFormat="false" ht="15" hidden="false" customHeight="true" outlineLevel="0" collapsed="false">
      <c r="A3" s="14" t="n">
        <v>1001</v>
      </c>
      <c r="B3" s="14" t="s">
        <v>24</v>
      </c>
      <c r="C3" s="14" t="s">
        <v>25</v>
      </c>
      <c r="D3" s="14" t="s">
        <v>21</v>
      </c>
      <c r="E3" s="14" t="s">
        <v>26</v>
      </c>
      <c r="F3" s="15" t="n">
        <v>44829</v>
      </c>
      <c r="G3" s="16" t="n">
        <v>322000</v>
      </c>
      <c r="H3" s="14" t="s">
        <v>23</v>
      </c>
    </row>
    <row r="4" customFormat="false" ht="15" hidden="false" customHeight="true" outlineLevel="0" collapsed="false">
      <c r="A4" s="14" t="n">
        <v>1002</v>
      </c>
      <c r="B4" s="14" t="s">
        <v>27</v>
      </c>
      <c r="C4" s="14" t="s">
        <v>28</v>
      </c>
      <c r="D4" s="14" t="s">
        <v>21</v>
      </c>
      <c r="E4" s="14" t="s">
        <v>22</v>
      </c>
      <c r="F4" s="15" t="n">
        <v>45762</v>
      </c>
      <c r="G4" s="16" t="n">
        <v>13000</v>
      </c>
      <c r="H4" s="14" t="s">
        <v>23</v>
      </c>
    </row>
    <row r="5" customFormat="false" ht="15" hidden="false" customHeight="true" outlineLevel="0" collapsed="false">
      <c r="A5" s="14" t="n">
        <v>1003</v>
      </c>
      <c r="B5" s="14" t="s">
        <v>29</v>
      </c>
      <c r="C5" s="14" t="s">
        <v>25</v>
      </c>
      <c r="D5" s="14" t="s">
        <v>30</v>
      </c>
      <c r="E5" s="14" t="s">
        <v>31</v>
      </c>
      <c r="F5" s="15" t="n">
        <v>45960</v>
      </c>
      <c r="G5" s="16" t="n">
        <v>48000</v>
      </c>
      <c r="H5" s="14" t="s">
        <v>23</v>
      </c>
    </row>
    <row r="6" customFormat="false" ht="15" hidden="false" customHeight="true" outlineLevel="0" collapsed="false">
      <c r="A6" s="14" t="n">
        <v>1004</v>
      </c>
      <c r="B6" s="14" t="s">
        <v>32</v>
      </c>
      <c r="C6" s="14" t="s">
        <v>28</v>
      </c>
      <c r="D6" s="14" t="s">
        <v>21</v>
      </c>
      <c r="E6" s="14" t="s">
        <v>33</v>
      </c>
      <c r="F6" s="15" t="n">
        <v>44657</v>
      </c>
      <c r="G6" s="16" t="n">
        <v>-28000</v>
      </c>
      <c r="H6" s="14" t="s">
        <v>23</v>
      </c>
    </row>
    <row r="7" customFormat="false" ht="15" hidden="false" customHeight="true" outlineLevel="0" collapsed="false">
      <c r="A7" s="14" t="n">
        <v>1005</v>
      </c>
      <c r="B7" s="14" t="s">
        <v>34</v>
      </c>
      <c r="C7" s="14" t="s">
        <v>35</v>
      </c>
      <c r="D7" s="14" t="s">
        <v>21</v>
      </c>
      <c r="E7" s="14" t="s">
        <v>31</v>
      </c>
      <c r="F7" s="15" t="n">
        <v>45297</v>
      </c>
      <c r="G7" s="16" t="n">
        <v>30000</v>
      </c>
      <c r="H7" s="14" t="s">
        <v>23</v>
      </c>
    </row>
    <row r="8" customFormat="false" ht="15" hidden="false" customHeight="true" outlineLevel="0" collapsed="false">
      <c r="A8" s="14" t="n">
        <v>1006</v>
      </c>
      <c r="B8" s="14" t="s">
        <v>36</v>
      </c>
      <c r="C8" s="14" t="s">
        <v>37</v>
      </c>
      <c r="D8" s="14" t="s">
        <v>30</v>
      </c>
      <c r="E8" s="14" t="s">
        <v>26</v>
      </c>
      <c r="F8" s="15" t="n">
        <v>44582</v>
      </c>
      <c r="G8" s="16" t="n">
        <v>461000</v>
      </c>
      <c r="H8" s="14" t="s">
        <v>23</v>
      </c>
    </row>
    <row r="9" customFormat="false" ht="15" hidden="false" customHeight="true" outlineLevel="0" collapsed="false">
      <c r="A9" s="14" t="n">
        <v>1007</v>
      </c>
      <c r="B9" s="14" t="s">
        <v>34</v>
      </c>
      <c r="C9" s="14" t="s">
        <v>20</v>
      </c>
      <c r="D9" s="14" t="s">
        <v>30</v>
      </c>
      <c r="E9" s="14" t="s">
        <v>22</v>
      </c>
      <c r="F9" s="15" t="n">
        <v>44054</v>
      </c>
      <c r="G9" s="16" t="n">
        <v>28000</v>
      </c>
      <c r="H9" s="14" t="s">
        <v>23</v>
      </c>
    </row>
    <row r="10" customFormat="false" ht="15" hidden="false" customHeight="true" outlineLevel="0" collapsed="false">
      <c r="A10" s="14" t="n">
        <v>1008</v>
      </c>
      <c r="B10" s="14" t="s">
        <v>38</v>
      </c>
      <c r="C10" s="14" t="s">
        <v>25</v>
      </c>
      <c r="D10" s="14" t="s">
        <v>21</v>
      </c>
      <c r="E10" s="14" t="s">
        <v>26</v>
      </c>
      <c r="F10" s="15" t="n">
        <v>43959</v>
      </c>
      <c r="G10" s="16" t="n">
        <v>201000</v>
      </c>
      <c r="H10" s="14" t="s">
        <v>23</v>
      </c>
    </row>
    <row r="11" customFormat="false" ht="15" hidden="false" customHeight="true" outlineLevel="0" collapsed="false">
      <c r="A11" s="14" t="n">
        <v>1009</v>
      </c>
      <c r="B11" s="14" t="s">
        <v>39</v>
      </c>
      <c r="C11" s="14" t="s">
        <v>35</v>
      </c>
      <c r="D11" s="14" t="s">
        <v>21</v>
      </c>
      <c r="E11" s="14" t="s">
        <v>22</v>
      </c>
      <c r="F11" s="15" t="n">
        <v>44655</v>
      </c>
      <c r="G11" s="16" t="n">
        <v>30000</v>
      </c>
      <c r="H11" s="14" t="s">
        <v>23</v>
      </c>
    </row>
    <row r="12" customFormat="false" ht="15" hidden="false" customHeight="true" outlineLevel="0" collapsed="false">
      <c r="A12" s="14" t="n">
        <v>1010</v>
      </c>
      <c r="B12" s="14" t="s">
        <v>40</v>
      </c>
      <c r="C12" s="14" t="s">
        <v>25</v>
      </c>
      <c r="D12" s="14" t="s">
        <v>30</v>
      </c>
      <c r="E12" s="14" t="s">
        <v>26</v>
      </c>
      <c r="F12" s="15" t="n">
        <v>43232</v>
      </c>
      <c r="G12" s="16" t="n">
        <v>137000</v>
      </c>
      <c r="H12" s="14" t="s">
        <v>23</v>
      </c>
    </row>
    <row r="13" customFormat="false" ht="15" hidden="false" customHeight="true" outlineLevel="0" collapsed="false">
      <c r="A13" s="14" t="n">
        <v>1011</v>
      </c>
      <c r="B13" s="14" t="s">
        <v>41</v>
      </c>
      <c r="C13" s="14" t="s">
        <v>20</v>
      </c>
      <c r="D13" s="14" t="s">
        <v>21</v>
      </c>
      <c r="E13" s="14" t="s">
        <v>33</v>
      </c>
      <c r="F13" s="15" t="n">
        <v>44389</v>
      </c>
      <c r="G13" s="16" t="n">
        <v>-188000</v>
      </c>
      <c r="H13" s="14" t="s">
        <v>23</v>
      </c>
    </row>
    <row r="14" customFormat="false" ht="15" hidden="false" customHeight="true" outlineLevel="0" collapsed="false">
      <c r="A14" s="14" t="n">
        <v>1012</v>
      </c>
      <c r="B14" s="14" t="s">
        <v>42</v>
      </c>
      <c r="C14" s="14" t="s">
        <v>43</v>
      </c>
      <c r="D14" s="14" t="s">
        <v>21</v>
      </c>
      <c r="E14" s="14" t="s">
        <v>22</v>
      </c>
      <c r="F14" s="15" t="n">
        <v>45400</v>
      </c>
      <c r="G14" s="16" t="n">
        <v>16000</v>
      </c>
      <c r="H14" s="14" t="s">
        <v>23</v>
      </c>
    </row>
    <row r="15" customFormat="false" ht="15" hidden="false" customHeight="true" outlineLevel="0" collapsed="false">
      <c r="A15" s="14" t="n">
        <v>1013</v>
      </c>
      <c r="B15" s="14" t="s">
        <v>44</v>
      </c>
      <c r="C15" s="14" t="s">
        <v>37</v>
      </c>
      <c r="D15" s="14" t="s">
        <v>21</v>
      </c>
      <c r="E15" s="14" t="s">
        <v>33</v>
      </c>
      <c r="F15" s="15" t="n">
        <v>43667</v>
      </c>
      <c r="G15" s="16" t="n">
        <v>-61000</v>
      </c>
      <c r="H15" s="14" t="s">
        <v>23</v>
      </c>
    </row>
    <row r="16" customFormat="false" ht="15" hidden="false" customHeight="true" outlineLevel="0" collapsed="false">
      <c r="A16" s="14" t="n">
        <v>1014</v>
      </c>
      <c r="B16" s="14" t="s">
        <v>45</v>
      </c>
      <c r="C16" s="14" t="s">
        <v>43</v>
      </c>
      <c r="D16" s="14" t="s">
        <v>21</v>
      </c>
      <c r="E16" s="14" t="s">
        <v>33</v>
      </c>
      <c r="F16" s="15" t="n">
        <v>45888</v>
      </c>
      <c r="G16" s="16" t="n">
        <v>-45000</v>
      </c>
      <c r="H16" s="14" t="s">
        <v>23</v>
      </c>
    </row>
    <row r="17" customFormat="false" ht="15" hidden="false" customHeight="true" outlineLevel="0" collapsed="false">
      <c r="A17" s="14" t="n">
        <v>1015</v>
      </c>
      <c r="B17" s="14" t="s">
        <v>46</v>
      </c>
      <c r="C17" s="14" t="s">
        <v>28</v>
      </c>
      <c r="D17" s="14" t="s">
        <v>21</v>
      </c>
      <c r="E17" s="14" t="s">
        <v>22</v>
      </c>
      <c r="F17" s="15" t="n">
        <v>45367</v>
      </c>
      <c r="G17" s="16" t="n">
        <v>17000</v>
      </c>
      <c r="H17" s="14" t="s">
        <v>23</v>
      </c>
    </row>
    <row r="18" customFormat="false" ht="15" hidden="false" customHeight="true" outlineLevel="0" collapsed="false">
      <c r="A18" s="14" t="n">
        <v>1016</v>
      </c>
      <c r="B18" s="14" t="s">
        <v>47</v>
      </c>
      <c r="C18" s="14" t="s">
        <v>37</v>
      </c>
      <c r="D18" s="14" t="s">
        <v>30</v>
      </c>
      <c r="E18" s="14" t="s">
        <v>26</v>
      </c>
      <c r="F18" s="15" t="n">
        <v>43557</v>
      </c>
      <c r="G18" s="16" t="n">
        <v>194000</v>
      </c>
      <c r="H18" s="14" t="s">
        <v>23</v>
      </c>
    </row>
    <row r="19" customFormat="false" ht="15" hidden="false" customHeight="true" outlineLevel="0" collapsed="false">
      <c r="A19" s="14" t="n">
        <v>1017</v>
      </c>
      <c r="B19" s="14" t="s">
        <v>48</v>
      </c>
      <c r="C19" s="14" t="s">
        <v>20</v>
      </c>
      <c r="D19" s="14" t="s">
        <v>30</v>
      </c>
      <c r="E19" s="14" t="s">
        <v>33</v>
      </c>
      <c r="F19" s="15" t="n">
        <v>45151</v>
      </c>
      <c r="G19" s="16" t="n">
        <v>-72000</v>
      </c>
      <c r="H19" s="14" t="s">
        <v>49</v>
      </c>
    </row>
    <row r="20" customFormat="false" ht="15" hidden="false" customHeight="true" outlineLevel="0" collapsed="false">
      <c r="A20" s="14" t="n">
        <v>1018</v>
      </c>
      <c r="B20" s="14" t="s">
        <v>50</v>
      </c>
      <c r="C20" s="14" t="s">
        <v>28</v>
      </c>
      <c r="D20" s="14" t="s">
        <v>30</v>
      </c>
      <c r="E20" s="14" t="s">
        <v>31</v>
      </c>
      <c r="F20" s="15" t="n">
        <v>43915</v>
      </c>
      <c r="G20" s="16" t="n">
        <v>163000</v>
      </c>
      <c r="H20" s="14" t="s">
        <v>23</v>
      </c>
    </row>
    <row r="21" customFormat="false" ht="15" hidden="false" customHeight="true" outlineLevel="0" collapsed="false">
      <c r="A21" s="14" t="n">
        <v>1019</v>
      </c>
      <c r="B21" s="14" t="s">
        <v>51</v>
      </c>
      <c r="C21" s="14" t="s">
        <v>37</v>
      </c>
      <c r="D21" s="14" t="s">
        <v>52</v>
      </c>
      <c r="E21" s="14" t="s">
        <v>33</v>
      </c>
      <c r="F21" s="15" t="n">
        <v>43103</v>
      </c>
      <c r="G21" s="16" t="n">
        <v>-240000</v>
      </c>
      <c r="H21" s="14" t="s">
        <v>23</v>
      </c>
    </row>
    <row r="22" customFormat="false" ht="15" hidden="false" customHeight="true" outlineLevel="0" collapsed="false">
      <c r="A22" s="14" t="n">
        <v>1020</v>
      </c>
      <c r="B22" s="14" t="s">
        <v>53</v>
      </c>
      <c r="C22" s="14" t="s">
        <v>28</v>
      </c>
      <c r="D22" s="14" t="s">
        <v>30</v>
      </c>
      <c r="E22" s="14" t="s">
        <v>33</v>
      </c>
      <c r="F22" s="15" t="n">
        <v>44360</v>
      </c>
      <c r="G22" s="16" t="n">
        <v>-217000</v>
      </c>
      <c r="H22" s="14" t="s">
        <v>23</v>
      </c>
    </row>
    <row r="23" customFormat="false" ht="15" hidden="false" customHeight="true" outlineLevel="0" collapsed="false">
      <c r="A23" s="14" t="n">
        <v>1021</v>
      </c>
      <c r="B23" s="14" t="s">
        <v>54</v>
      </c>
      <c r="C23" s="14" t="s">
        <v>43</v>
      </c>
      <c r="D23" s="14" t="s">
        <v>21</v>
      </c>
      <c r="E23" s="14" t="s">
        <v>33</v>
      </c>
      <c r="F23" s="15" t="n">
        <v>43384</v>
      </c>
      <c r="G23" s="16" t="n">
        <v>-129000</v>
      </c>
      <c r="H23" s="14" t="s">
        <v>23</v>
      </c>
    </row>
    <row r="24" customFormat="false" ht="15" hidden="false" customHeight="true" outlineLevel="0" collapsed="false">
      <c r="A24" s="14" t="n">
        <v>1022</v>
      </c>
      <c r="B24" s="14" t="s">
        <v>55</v>
      </c>
      <c r="C24" s="14" t="s">
        <v>20</v>
      </c>
      <c r="D24" s="14" t="s">
        <v>21</v>
      </c>
      <c r="E24" s="14" t="s">
        <v>33</v>
      </c>
      <c r="F24" s="15" t="n">
        <v>45585</v>
      </c>
      <c r="G24" s="16" t="n">
        <v>-140000</v>
      </c>
      <c r="H24" s="14" t="s">
        <v>49</v>
      </c>
    </row>
    <row r="25" customFormat="false" ht="15" hidden="false" customHeight="true" outlineLevel="0" collapsed="false">
      <c r="A25" s="14" t="n">
        <v>1023</v>
      </c>
      <c r="B25" s="14" t="s">
        <v>56</v>
      </c>
      <c r="C25" s="14" t="s">
        <v>43</v>
      </c>
      <c r="D25" s="14" t="s">
        <v>30</v>
      </c>
      <c r="E25" s="14" t="s">
        <v>22</v>
      </c>
      <c r="F25" s="15" t="n">
        <v>45852</v>
      </c>
      <c r="G25" s="16" t="n">
        <v>110000</v>
      </c>
      <c r="H25" s="14" t="s">
        <v>49</v>
      </c>
    </row>
    <row r="26" customFormat="false" ht="15" hidden="false" customHeight="true" outlineLevel="0" collapsed="false">
      <c r="A26" s="14" t="n">
        <v>1024</v>
      </c>
      <c r="B26" s="14" t="s">
        <v>57</v>
      </c>
      <c r="C26" s="14" t="s">
        <v>25</v>
      </c>
      <c r="D26" s="14" t="s">
        <v>21</v>
      </c>
      <c r="E26" s="14" t="s">
        <v>31</v>
      </c>
      <c r="F26" s="15" t="n">
        <v>43187</v>
      </c>
      <c r="G26" s="16" t="n">
        <v>22000</v>
      </c>
      <c r="H26" s="14" t="s">
        <v>23</v>
      </c>
    </row>
    <row r="27" customFormat="false" ht="15" hidden="false" customHeight="true" outlineLevel="0" collapsed="false">
      <c r="A27" s="14" t="n">
        <v>1025</v>
      </c>
      <c r="B27" s="14" t="s">
        <v>58</v>
      </c>
      <c r="C27" s="14" t="s">
        <v>37</v>
      </c>
      <c r="D27" s="14" t="s">
        <v>30</v>
      </c>
      <c r="E27" s="14" t="s">
        <v>31</v>
      </c>
      <c r="F27" s="15" t="n">
        <v>44038</v>
      </c>
      <c r="G27" s="16" t="n">
        <v>23000</v>
      </c>
      <c r="H27" s="14" t="s">
        <v>23</v>
      </c>
    </row>
    <row r="28" customFormat="false" ht="15" hidden="false" customHeight="true" outlineLevel="0" collapsed="false">
      <c r="A28" s="14" t="n">
        <v>1026</v>
      </c>
      <c r="B28" s="14" t="s">
        <v>54</v>
      </c>
      <c r="C28" s="14" t="s">
        <v>28</v>
      </c>
      <c r="D28" s="14" t="s">
        <v>21</v>
      </c>
      <c r="E28" s="14" t="s">
        <v>22</v>
      </c>
      <c r="F28" s="15" t="n">
        <v>43978</v>
      </c>
      <c r="G28" s="16" t="n">
        <v>32000</v>
      </c>
      <c r="H28" s="14" t="s">
        <v>23</v>
      </c>
    </row>
    <row r="29" customFormat="false" ht="15" hidden="false" customHeight="true" outlineLevel="0" collapsed="false">
      <c r="A29" s="14" t="n">
        <v>1027</v>
      </c>
      <c r="B29" s="14" t="s">
        <v>59</v>
      </c>
      <c r="C29" s="14" t="s">
        <v>43</v>
      </c>
      <c r="D29" s="14" t="s">
        <v>21</v>
      </c>
      <c r="E29" s="14" t="s">
        <v>22</v>
      </c>
      <c r="F29" s="15" t="n">
        <v>44768</v>
      </c>
      <c r="G29" s="16" t="n">
        <v>31000</v>
      </c>
      <c r="H29" s="14" t="s">
        <v>23</v>
      </c>
    </row>
    <row r="30" customFormat="false" ht="15" hidden="false" customHeight="true" outlineLevel="0" collapsed="false">
      <c r="A30" s="14" t="n">
        <v>1028</v>
      </c>
      <c r="B30" s="14" t="s">
        <v>60</v>
      </c>
      <c r="C30" s="14" t="s">
        <v>35</v>
      </c>
      <c r="D30" s="14" t="s">
        <v>21</v>
      </c>
      <c r="E30" s="14" t="s">
        <v>31</v>
      </c>
      <c r="F30" s="15" t="n">
        <v>43322</v>
      </c>
      <c r="G30" s="16" t="n">
        <v>56000</v>
      </c>
      <c r="H30" s="14" t="s">
        <v>23</v>
      </c>
    </row>
    <row r="31" customFormat="false" ht="15" hidden="false" customHeight="true" outlineLevel="0" collapsed="false">
      <c r="A31" s="14" t="n">
        <v>1029</v>
      </c>
      <c r="B31" s="14" t="s">
        <v>61</v>
      </c>
      <c r="C31" s="14" t="s">
        <v>25</v>
      </c>
      <c r="D31" s="14" t="s">
        <v>21</v>
      </c>
      <c r="E31" s="14" t="s">
        <v>26</v>
      </c>
      <c r="F31" s="15" t="n">
        <v>43880</v>
      </c>
      <c r="G31" s="16" t="n">
        <v>118000</v>
      </c>
      <c r="H31" s="14" t="s">
        <v>23</v>
      </c>
    </row>
    <row r="32" customFormat="false" ht="15" hidden="false" customHeight="true" outlineLevel="0" collapsed="false">
      <c r="A32" s="14" t="n">
        <v>1030</v>
      </c>
      <c r="B32" s="14" t="s">
        <v>62</v>
      </c>
      <c r="C32" s="14" t="s">
        <v>20</v>
      </c>
      <c r="D32" s="14" t="s">
        <v>21</v>
      </c>
      <c r="E32" s="14" t="s">
        <v>31</v>
      </c>
      <c r="F32" s="15" t="n">
        <v>43409</v>
      </c>
      <c r="G32" s="16" t="n">
        <v>60000</v>
      </c>
      <c r="H32" s="14" t="s">
        <v>23</v>
      </c>
    </row>
    <row r="33" customFormat="false" ht="15" hidden="false" customHeight="true" outlineLevel="0" collapsed="false">
      <c r="A33" s="14" t="n">
        <v>1031</v>
      </c>
      <c r="B33" s="14" t="s">
        <v>63</v>
      </c>
      <c r="C33" s="14" t="s">
        <v>25</v>
      </c>
      <c r="D33" s="14" t="s">
        <v>30</v>
      </c>
      <c r="E33" s="14" t="s">
        <v>33</v>
      </c>
      <c r="F33" s="15" t="n">
        <v>44069</v>
      </c>
      <c r="G33" s="16" t="n">
        <v>-28000</v>
      </c>
      <c r="H33" s="14" t="s">
        <v>23</v>
      </c>
    </row>
    <row r="34" customFormat="false" ht="15" hidden="false" customHeight="true" outlineLevel="0" collapsed="false">
      <c r="A34" s="14" t="n">
        <v>1032</v>
      </c>
      <c r="B34" s="14" t="s">
        <v>64</v>
      </c>
      <c r="C34" s="14" t="s">
        <v>43</v>
      </c>
      <c r="D34" s="14" t="s">
        <v>52</v>
      </c>
      <c r="E34" s="14" t="s">
        <v>33</v>
      </c>
      <c r="F34" s="15" t="n">
        <v>44653</v>
      </c>
      <c r="G34" s="16" t="n">
        <v>-47000</v>
      </c>
      <c r="H34" s="14" t="s">
        <v>23</v>
      </c>
    </row>
    <row r="35" customFormat="false" ht="15" hidden="false" customHeight="true" outlineLevel="0" collapsed="false">
      <c r="A35" s="14" t="n">
        <v>1033</v>
      </c>
      <c r="B35" s="14" t="s">
        <v>65</v>
      </c>
      <c r="C35" s="14" t="s">
        <v>25</v>
      </c>
      <c r="D35" s="14" t="s">
        <v>30</v>
      </c>
      <c r="E35" s="14" t="s">
        <v>31</v>
      </c>
      <c r="F35" s="15" t="n">
        <v>45377</v>
      </c>
      <c r="G35" s="16" t="n">
        <v>195000</v>
      </c>
      <c r="H35" s="14" t="s">
        <v>23</v>
      </c>
    </row>
    <row r="36" customFormat="false" ht="15" hidden="false" customHeight="true" outlineLevel="0" collapsed="false">
      <c r="A36" s="14" t="n">
        <v>1034</v>
      </c>
      <c r="B36" s="14" t="s">
        <v>66</v>
      </c>
      <c r="C36" s="14" t="s">
        <v>43</v>
      </c>
      <c r="D36" s="14" t="s">
        <v>21</v>
      </c>
      <c r="E36" s="14" t="s">
        <v>33</v>
      </c>
      <c r="F36" s="15" t="n">
        <v>43350</v>
      </c>
      <c r="G36" s="16" t="n">
        <v>-143000</v>
      </c>
      <c r="H36" s="14" t="s">
        <v>23</v>
      </c>
    </row>
    <row r="37" customFormat="false" ht="15" hidden="false" customHeight="true" outlineLevel="0" collapsed="false">
      <c r="A37" s="14" t="n">
        <v>1035</v>
      </c>
      <c r="B37" s="14" t="s">
        <v>67</v>
      </c>
      <c r="C37" s="14" t="s">
        <v>37</v>
      </c>
      <c r="D37" s="14" t="s">
        <v>30</v>
      </c>
      <c r="E37" s="14" t="s">
        <v>22</v>
      </c>
      <c r="F37" s="15" t="n">
        <v>43333</v>
      </c>
      <c r="G37" s="16" t="n">
        <v>48000</v>
      </c>
      <c r="H37" s="14" t="s">
        <v>23</v>
      </c>
    </row>
    <row r="38" customFormat="false" ht="15" hidden="false" customHeight="true" outlineLevel="0" collapsed="false">
      <c r="A38" s="14" t="n">
        <v>1036</v>
      </c>
      <c r="B38" s="14" t="s">
        <v>68</v>
      </c>
      <c r="C38" s="14" t="s">
        <v>28</v>
      </c>
      <c r="D38" s="14" t="s">
        <v>30</v>
      </c>
      <c r="E38" s="14" t="s">
        <v>22</v>
      </c>
      <c r="F38" s="15" t="n">
        <v>44754</v>
      </c>
      <c r="G38" s="16" t="n">
        <v>68000</v>
      </c>
      <c r="H38" s="14" t="s">
        <v>23</v>
      </c>
    </row>
    <row r="39" customFormat="false" ht="15" hidden="false" customHeight="true" outlineLevel="0" collapsed="false">
      <c r="A39" s="14" t="n">
        <v>1037</v>
      </c>
      <c r="B39" s="14" t="s">
        <v>69</v>
      </c>
      <c r="C39" s="14" t="s">
        <v>35</v>
      </c>
      <c r="D39" s="14" t="s">
        <v>21</v>
      </c>
      <c r="E39" s="14" t="s">
        <v>31</v>
      </c>
      <c r="F39" s="15" t="n">
        <v>45491</v>
      </c>
      <c r="G39" s="16" t="n">
        <v>43000</v>
      </c>
      <c r="H39" s="14" t="s">
        <v>23</v>
      </c>
    </row>
    <row r="40" customFormat="false" ht="15" hidden="false" customHeight="true" outlineLevel="0" collapsed="false">
      <c r="A40" s="14" t="n">
        <v>1038</v>
      </c>
      <c r="B40" s="14" t="s">
        <v>70</v>
      </c>
      <c r="C40" s="14" t="s">
        <v>35</v>
      </c>
      <c r="D40" s="14" t="s">
        <v>30</v>
      </c>
      <c r="E40" s="14" t="s">
        <v>31</v>
      </c>
      <c r="F40" s="15" t="n">
        <v>44188</v>
      </c>
      <c r="G40" s="16" t="n">
        <v>69000</v>
      </c>
      <c r="H40" s="14" t="s">
        <v>23</v>
      </c>
    </row>
    <row r="41" customFormat="false" ht="15" hidden="false" customHeight="true" outlineLevel="0" collapsed="false">
      <c r="A41" s="14" t="n">
        <v>1039</v>
      </c>
      <c r="B41" s="14" t="s">
        <v>71</v>
      </c>
      <c r="C41" s="14" t="s">
        <v>37</v>
      </c>
      <c r="D41" s="14" t="s">
        <v>52</v>
      </c>
      <c r="E41" s="14" t="s">
        <v>22</v>
      </c>
      <c r="F41" s="15" t="n">
        <v>43139</v>
      </c>
      <c r="G41" s="16" t="n">
        <v>104000</v>
      </c>
      <c r="H41" s="14" t="s">
        <v>49</v>
      </c>
    </row>
    <row r="42" customFormat="false" ht="15" hidden="false" customHeight="true" outlineLevel="0" collapsed="false">
      <c r="A42" s="14" t="n">
        <v>1040</v>
      </c>
      <c r="B42" s="14" t="s">
        <v>72</v>
      </c>
      <c r="C42" s="14" t="s">
        <v>35</v>
      </c>
      <c r="D42" s="14" t="s">
        <v>21</v>
      </c>
      <c r="E42" s="14" t="s">
        <v>31</v>
      </c>
      <c r="F42" s="15" t="n">
        <v>43643</v>
      </c>
      <c r="G42" s="16" t="n">
        <v>17000</v>
      </c>
      <c r="H42" s="14" t="s">
        <v>23</v>
      </c>
    </row>
    <row r="43" customFormat="false" ht="15" hidden="false" customHeight="true" outlineLevel="0" collapsed="false">
      <c r="A43" s="14" t="n">
        <v>1041</v>
      </c>
      <c r="B43" s="14" t="s">
        <v>73</v>
      </c>
      <c r="C43" s="14" t="s">
        <v>20</v>
      </c>
      <c r="D43" s="14" t="s">
        <v>21</v>
      </c>
      <c r="E43" s="14" t="s">
        <v>31</v>
      </c>
      <c r="F43" s="15" t="n">
        <v>45982</v>
      </c>
      <c r="G43" s="16" t="n">
        <v>35000</v>
      </c>
      <c r="H43" s="14" t="s">
        <v>49</v>
      </c>
    </row>
    <row r="44" customFormat="false" ht="15" hidden="false" customHeight="true" outlineLevel="0" collapsed="false">
      <c r="A44" s="14" t="n">
        <v>1042</v>
      </c>
      <c r="B44" s="14" t="s">
        <v>74</v>
      </c>
      <c r="C44" s="14" t="s">
        <v>37</v>
      </c>
      <c r="D44" s="14" t="s">
        <v>30</v>
      </c>
      <c r="E44" s="14" t="s">
        <v>22</v>
      </c>
      <c r="F44" s="15" t="n">
        <v>44327</v>
      </c>
      <c r="G44" s="16" t="n">
        <v>149000</v>
      </c>
      <c r="H44" s="14" t="s">
        <v>23</v>
      </c>
    </row>
    <row r="45" customFormat="false" ht="15" hidden="false" customHeight="true" outlineLevel="0" collapsed="false">
      <c r="A45" s="14" t="n">
        <v>1043</v>
      </c>
      <c r="B45" s="14" t="s">
        <v>75</v>
      </c>
      <c r="C45" s="14" t="s">
        <v>20</v>
      </c>
      <c r="D45" s="14" t="s">
        <v>21</v>
      </c>
      <c r="E45" s="14" t="s">
        <v>26</v>
      </c>
      <c r="F45" s="15" t="n">
        <v>45578</v>
      </c>
      <c r="G45" s="16" t="n">
        <v>164000</v>
      </c>
      <c r="H45" s="14" t="s">
        <v>23</v>
      </c>
    </row>
    <row r="46" customFormat="false" ht="15" hidden="false" customHeight="true" outlineLevel="0" collapsed="false">
      <c r="A46" s="14" t="n">
        <v>1044</v>
      </c>
      <c r="B46" s="14" t="s">
        <v>76</v>
      </c>
      <c r="C46" s="14" t="s">
        <v>37</v>
      </c>
      <c r="D46" s="14" t="s">
        <v>21</v>
      </c>
      <c r="E46" s="14" t="s">
        <v>33</v>
      </c>
      <c r="F46" s="15" t="n">
        <v>43309</v>
      </c>
      <c r="G46" s="16" t="n">
        <v>-69000</v>
      </c>
      <c r="H46" s="14" t="s">
        <v>23</v>
      </c>
    </row>
    <row r="47" customFormat="false" ht="15" hidden="false" customHeight="true" outlineLevel="0" collapsed="false">
      <c r="A47" s="14" t="n">
        <v>1045</v>
      </c>
      <c r="B47" s="14" t="s">
        <v>77</v>
      </c>
      <c r="C47" s="14" t="s">
        <v>43</v>
      </c>
      <c r="D47" s="14" t="s">
        <v>30</v>
      </c>
      <c r="E47" s="14" t="s">
        <v>31</v>
      </c>
      <c r="F47" s="15" t="n">
        <v>44173</v>
      </c>
      <c r="G47" s="16" t="n">
        <v>171000</v>
      </c>
      <c r="H47" s="14" t="s">
        <v>23</v>
      </c>
    </row>
    <row r="48" customFormat="false" ht="15" hidden="false" customHeight="true" outlineLevel="0" collapsed="false">
      <c r="A48" s="14" t="n">
        <v>1046</v>
      </c>
      <c r="B48" s="14" t="s">
        <v>78</v>
      </c>
      <c r="C48" s="14" t="s">
        <v>35</v>
      </c>
      <c r="D48" s="14" t="s">
        <v>21</v>
      </c>
      <c r="E48" s="14" t="s">
        <v>22</v>
      </c>
      <c r="F48" s="15" t="n">
        <v>45931</v>
      </c>
      <c r="G48" s="16" t="n">
        <v>57000</v>
      </c>
      <c r="H48" s="14" t="s">
        <v>23</v>
      </c>
    </row>
    <row r="49" customFormat="false" ht="15" hidden="false" customHeight="true" outlineLevel="0" collapsed="false">
      <c r="A49" s="14" t="n">
        <v>1047</v>
      </c>
      <c r="B49" s="14" t="s">
        <v>79</v>
      </c>
      <c r="C49" s="14" t="s">
        <v>37</v>
      </c>
      <c r="D49" s="14" t="s">
        <v>21</v>
      </c>
      <c r="E49" s="14" t="s">
        <v>22</v>
      </c>
      <c r="F49" s="15" t="n">
        <v>43272</v>
      </c>
      <c r="G49" s="16" t="n">
        <v>9000</v>
      </c>
      <c r="H49" s="14" t="s">
        <v>49</v>
      </c>
    </row>
    <row r="50" customFormat="false" ht="15" hidden="false" customHeight="true" outlineLevel="0" collapsed="false">
      <c r="A50" s="14" t="n">
        <v>1048</v>
      </c>
      <c r="B50" s="14" t="s">
        <v>32</v>
      </c>
      <c r="C50" s="14" t="s">
        <v>43</v>
      </c>
      <c r="D50" s="14" t="s">
        <v>21</v>
      </c>
      <c r="E50" s="14" t="s">
        <v>33</v>
      </c>
      <c r="F50" s="15" t="n">
        <v>45832</v>
      </c>
      <c r="G50" s="16" t="n">
        <v>-68000</v>
      </c>
      <c r="H50" s="14" t="s">
        <v>23</v>
      </c>
    </row>
    <row r="51" customFormat="false" ht="15" hidden="false" customHeight="true" outlineLevel="0" collapsed="false">
      <c r="A51" s="14" t="n">
        <v>1049</v>
      </c>
      <c r="B51" s="14" t="s">
        <v>80</v>
      </c>
      <c r="C51" s="14" t="s">
        <v>37</v>
      </c>
      <c r="D51" s="14" t="s">
        <v>30</v>
      </c>
      <c r="E51" s="14" t="s">
        <v>33</v>
      </c>
      <c r="F51" s="15" t="n">
        <v>44070</v>
      </c>
      <c r="G51" s="16" t="n">
        <v>-241000</v>
      </c>
      <c r="H51" s="14" t="s">
        <v>49</v>
      </c>
    </row>
    <row r="52" customFormat="false" ht="15" hidden="false" customHeight="true" outlineLevel="0" collapsed="false">
      <c r="A52" s="14" t="n">
        <v>1050</v>
      </c>
      <c r="B52" s="14" t="s">
        <v>81</v>
      </c>
      <c r="C52" s="14" t="s">
        <v>20</v>
      </c>
      <c r="D52" s="14" t="s">
        <v>52</v>
      </c>
      <c r="E52" s="14" t="s">
        <v>31</v>
      </c>
      <c r="F52" s="15" t="n">
        <v>44787</v>
      </c>
      <c r="G52" s="16" t="n">
        <v>831000</v>
      </c>
      <c r="H52" s="14" t="s">
        <v>23</v>
      </c>
    </row>
    <row r="53" customFormat="false" ht="15" hidden="false" customHeight="true" outlineLevel="0" collapsed="false">
      <c r="A53" s="14" t="n">
        <v>1051</v>
      </c>
      <c r="B53" s="14" t="s">
        <v>82</v>
      </c>
      <c r="C53" s="14" t="s">
        <v>25</v>
      </c>
      <c r="D53" s="14" t="s">
        <v>30</v>
      </c>
      <c r="E53" s="14" t="s">
        <v>31</v>
      </c>
      <c r="F53" s="15" t="n">
        <v>44012</v>
      </c>
      <c r="G53" s="16" t="n">
        <v>128000</v>
      </c>
      <c r="H53" s="14" t="s">
        <v>23</v>
      </c>
    </row>
    <row r="54" customFormat="false" ht="15" hidden="false" customHeight="true" outlineLevel="0" collapsed="false">
      <c r="A54" s="14" t="n">
        <v>1052</v>
      </c>
      <c r="B54" s="14" t="s">
        <v>38</v>
      </c>
      <c r="C54" s="14" t="s">
        <v>35</v>
      </c>
      <c r="D54" s="14" t="s">
        <v>30</v>
      </c>
      <c r="E54" s="14" t="s">
        <v>31</v>
      </c>
      <c r="F54" s="15" t="n">
        <v>44445</v>
      </c>
      <c r="G54" s="16" t="n">
        <v>110000</v>
      </c>
      <c r="H54" s="14" t="s">
        <v>49</v>
      </c>
    </row>
    <row r="55" customFormat="false" ht="15" hidden="false" customHeight="true" outlineLevel="0" collapsed="false">
      <c r="A55" s="14" t="n">
        <v>1053</v>
      </c>
      <c r="B55" s="14" t="s">
        <v>83</v>
      </c>
      <c r="C55" s="14" t="s">
        <v>35</v>
      </c>
      <c r="D55" s="14" t="s">
        <v>21</v>
      </c>
      <c r="E55" s="14" t="s">
        <v>31</v>
      </c>
      <c r="F55" s="15" t="n">
        <v>45297</v>
      </c>
      <c r="G55" s="16" t="n">
        <v>44000</v>
      </c>
      <c r="H55" s="14" t="s">
        <v>23</v>
      </c>
    </row>
    <row r="56" customFormat="false" ht="15" hidden="false" customHeight="true" outlineLevel="0" collapsed="false">
      <c r="A56" s="14" t="n">
        <v>1054</v>
      </c>
      <c r="B56" s="14" t="s">
        <v>84</v>
      </c>
      <c r="C56" s="14" t="s">
        <v>20</v>
      </c>
      <c r="D56" s="14" t="s">
        <v>52</v>
      </c>
      <c r="E56" s="14" t="s">
        <v>31</v>
      </c>
      <c r="F56" s="15" t="n">
        <v>43257</v>
      </c>
      <c r="G56" s="16" t="n">
        <v>301000</v>
      </c>
      <c r="H56" s="14" t="s">
        <v>23</v>
      </c>
    </row>
    <row r="57" customFormat="false" ht="15" hidden="false" customHeight="true" outlineLevel="0" collapsed="false">
      <c r="A57" s="14" t="n">
        <v>1055</v>
      </c>
      <c r="B57" s="14" t="s">
        <v>85</v>
      </c>
      <c r="C57" s="14" t="s">
        <v>37</v>
      </c>
      <c r="D57" s="14" t="s">
        <v>21</v>
      </c>
      <c r="E57" s="14" t="s">
        <v>26</v>
      </c>
      <c r="F57" s="15" t="n">
        <v>43574</v>
      </c>
      <c r="G57" s="16" t="n">
        <v>281000</v>
      </c>
      <c r="H57" s="14" t="s">
        <v>23</v>
      </c>
    </row>
    <row r="58" customFormat="false" ht="15" hidden="false" customHeight="true" outlineLevel="0" collapsed="false">
      <c r="A58" s="14" t="n">
        <v>1056</v>
      </c>
      <c r="B58" s="14" t="s">
        <v>86</v>
      </c>
      <c r="C58" s="14" t="s">
        <v>20</v>
      </c>
      <c r="D58" s="14" t="s">
        <v>21</v>
      </c>
      <c r="E58" s="14" t="s">
        <v>26</v>
      </c>
      <c r="F58" s="15" t="n">
        <v>45306</v>
      </c>
      <c r="G58" s="16" t="n">
        <v>493000</v>
      </c>
      <c r="H58" s="14" t="s">
        <v>23</v>
      </c>
    </row>
    <row r="59" customFormat="false" ht="15" hidden="false" customHeight="true" outlineLevel="0" collapsed="false">
      <c r="A59" s="14" t="n">
        <v>1057</v>
      </c>
      <c r="B59" s="14" t="s">
        <v>87</v>
      </c>
      <c r="C59" s="14" t="s">
        <v>43</v>
      </c>
      <c r="D59" s="14" t="s">
        <v>30</v>
      </c>
      <c r="E59" s="14" t="s">
        <v>33</v>
      </c>
      <c r="F59" s="15" t="n">
        <v>43611</v>
      </c>
      <c r="G59" s="16" t="n">
        <v>-174000</v>
      </c>
      <c r="H59" s="14" t="s">
        <v>23</v>
      </c>
    </row>
    <row r="60" customFormat="false" ht="15" hidden="false" customHeight="true" outlineLevel="0" collapsed="false">
      <c r="A60" s="14" t="n">
        <v>1058</v>
      </c>
      <c r="B60" s="14" t="s">
        <v>88</v>
      </c>
      <c r="C60" s="14" t="s">
        <v>43</v>
      </c>
      <c r="D60" s="14" t="s">
        <v>30</v>
      </c>
      <c r="E60" s="14" t="s">
        <v>31</v>
      </c>
      <c r="F60" s="15" t="n">
        <v>43622</v>
      </c>
      <c r="G60" s="16" t="n">
        <v>149000</v>
      </c>
      <c r="H60" s="14" t="s">
        <v>23</v>
      </c>
    </row>
    <row r="61" customFormat="false" ht="15" hidden="false" customHeight="true" outlineLevel="0" collapsed="false">
      <c r="A61" s="14" t="n">
        <v>1059</v>
      </c>
      <c r="B61" s="14" t="s">
        <v>89</v>
      </c>
      <c r="C61" s="14" t="s">
        <v>37</v>
      </c>
      <c r="D61" s="14" t="s">
        <v>52</v>
      </c>
      <c r="E61" s="14" t="s">
        <v>22</v>
      </c>
      <c r="F61" s="15" t="n">
        <v>45432</v>
      </c>
      <c r="G61" s="16" t="n">
        <v>660000</v>
      </c>
      <c r="H61" s="14" t="s">
        <v>23</v>
      </c>
    </row>
    <row r="62" customFormat="false" ht="15" hidden="false" customHeight="true" outlineLevel="0" collapsed="false">
      <c r="A62" s="14" t="n">
        <v>1060</v>
      </c>
      <c r="B62" s="14" t="s">
        <v>51</v>
      </c>
      <c r="C62" s="14" t="s">
        <v>43</v>
      </c>
      <c r="D62" s="14" t="s">
        <v>21</v>
      </c>
      <c r="E62" s="14" t="s">
        <v>31</v>
      </c>
      <c r="F62" s="15" t="n">
        <v>45476</v>
      </c>
      <c r="G62" s="16" t="n">
        <v>51000</v>
      </c>
      <c r="H62" s="14" t="s">
        <v>23</v>
      </c>
    </row>
    <row r="63" customFormat="false" ht="15" hidden="false" customHeight="true" outlineLevel="0" collapsed="false">
      <c r="A63" s="14" t="n">
        <v>1061</v>
      </c>
      <c r="B63" s="14" t="s">
        <v>90</v>
      </c>
      <c r="C63" s="14" t="s">
        <v>20</v>
      </c>
      <c r="D63" s="14" t="s">
        <v>21</v>
      </c>
      <c r="E63" s="14" t="s">
        <v>22</v>
      </c>
      <c r="F63" s="15" t="n">
        <v>43796</v>
      </c>
      <c r="G63" s="16" t="n">
        <v>51000</v>
      </c>
      <c r="H63" s="14" t="s">
        <v>23</v>
      </c>
    </row>
    <row r="64" customFormat="false" ht="15" hidden="false" customHeight="true" outlineLevel="0" collapsed="false">
      <c r="A64" s="14" t="n">
        <v>1062</v>
      </c>
      <c r="B64" s="14" t="s">
        <v>91</v>
      </c>
      <c r="C64" s="14" t="s">
        <v>25</v>
      </c>
      <c r="D64" s="14" t="s">
        <v>21</v>
      </c>
      <c r="E64" s="14" t="s">
        <v>22</v>
      </c>
      <c r="F64" s="15" t="n">
        <v>44063</v>
      </c>
      <c r="G64" s="16" t="n">
        <v>49000</v>
      </c>
      <c r="H64" s="14" t="s">
        <v>23</v>
      </c>
    </row>
    <row r="65" customFormat="false" ht="15" hidden="false" customHeight="true" outlineLevel="0" collapsed="false">
      <c r="A65" s="14" t="n">
        <v>1063</v>
      </c>
      <c r="B65" s="14" t="s">
        <v>92</v>
      </c>
      <c r="C65" s="14" t="s">
        <v>20</v>
      </c>
      <c r="D65" s="14" t="s">
        <v>21</v>
      </c>
      <c r="E65" s="14" t="s">
        <v>31</v>
      </c>
      <c r="F65" s="15" t="n">
        <v>45604</v>
      </c>
      <c r="G65" s="16" t="n">
        <v>31000</v>
      </c>
      <c r="H65" s="14" t="s">
        <v>23</v>
      </c>
    </row>
    <row r="66" customFormat="false" ht="15" hidden="false" customHeight="true" outlineLevel="0" collapsed="false">
      <c r="A66" s="14" t="n">
        <v>1064</v>
      </c>
      <c r="B66" s="14" t="s">
        <v>93</v>
      </c>
      <c r="C66" s="14" t="s">
        <v>20</v>
      </c>
      <c r="D66" s="14" t="s">
        <v>30</v>
      </c>
      <c r="E66" s="14" t="s">
        <v>22</v>
      </c>
      <c r="F66" s="15" t="n">
        <v>45125</v>
      </c>
      <c r="G66" s="16" t="n">
        <v>106000</v>
      </c>
      <c r="H66" s="14" t="s">
        <v>23</v>
      </c>
    </row>
    <row r="67" customFormat="false" ht="15" hidden="false" customHeight="true" outlineLevel="0" collapsed="false">
      <c r="A67" s="14" t="n">
        <v>1065</v>
      </c>
      <c r="B67" s="14" t="s">
        <v>94</v>
      </c>
      <c r="C67" s="14" t="s">
        <v>20</v>
      </c>
      <c r="D67" s="14" t="s">
        <v>30</v>
      </c>
      <c r="E67" s="14" t="s">
        <v>31</v>
      </c>
      <c r="F67" s="15" t="n">
        <v>44842</v>
      </c>
      <c r="G67" s="16" t="n">
        <v>35000</v>
      </c>
      <c r="H67" s="14" t="s">
        <v>23</v>
      </c>
    </row>
    <row r="68" customFormat="false" ht="15" hidden="false" customHeight="true" outlineLevel="0" collapsed="false">
      <c r="A68" s="14" t="n">
        <v>1066</v>
      </c>
      <c r="B68" s="14" t="s">
        <v>95</v>
      </c>
      <c r="C68" s="14" t="s">
        <v>20</v>
      </c>
      <c r="D68" s="14" t="s">
        <v>21</v>
      </c>
      <c r="E68" s="14" t="s">
        <v>22</v>
      </c>
      <c r="F68" s="15" t="n">
        <v>43598</v>
      </c>
      <c r="G68" s="16" t="n">
        <v>16000</v>
      </c>
      <c r="H68" s="14" t="s">
        <v>23</v>
      </c>
    </row>
    <row r="69" customFormat="false" ht="15" hidden="false" customHeight="true" outlineLevel="0" collapsed="false">
      <c r="A69" s="14" t="n">
        <v>1067</v>
      </c>
      <c r="B69" s="14" t="s">
        <v>96</v>
      </c>
      <c r="C69" s="14" t="s">
        <v>28</v>
      </c>
      <c r="D69" s="14" t="s">
        <v>21</v>
      </c>
      <c r="E69" s="14" t="s">
        <v>22</v>
      </c>
      <c r="F69" s="15" t="n">
        <v>44913</v>
      </c>
      <c r="G69" s="16" t="n">
        <v>21000</v>
      </c>
      <c r="H69" s="14" t="s">
        <v>23</v>
      </c>
    </row>
    <row r="70" customFormat="false" ht="15" hidden="false" customHeight="true" outlineLevel="0" collapsed="false">
      <c r="A70" s="14" t="n">
        <v>1068</v>
      </c>
      <c r="B70" s="14" t="s">
        <v>97</v>
      </c>
      <c r="C70" s="14" t="s">
        <v>20</v>
      </c>
      <c r="D70" s="14" t="s">
        <v>21</v>
      </c>
      <c r="E70" s="14" t="s">
        <v>22</v>
      </c>
      <c r="F70" s="15" t="n">
        <v>45045</v>
      </c>
      <c r="G70" s="16" t="n">
        <v>56000</v>
      </c>
      <c r="H70" s="14" t="s">
        <v>23</v>
      </c>
    </row>
    <row r="71" customFormat="false" ht="15" hidden="false" customHeight="true" outlineLevel="0" collapsed="false">
      <c r="A71" s="14" t="n">
        <v>1069</v>
      </c>
      <c r="B71" s="14" t="s">
        <v>81</v>
      </c>
      <c r="C71" s="14" t="s">
        <v>20</v>
      </c>
      <c r="D71" s="14" t="s">
        <v>30</v>
      </c>
      <c r="E71" s="14" t="s">
        <v>31</v>
      </c>
      <c r="F71" s="15" t="n">
        <v>45668</v>
      </c>
      <c r="G71" s="16" t="n">
        <v>132000</v>
      </c>
      <c r="H71" s="14" t="s">
        <v>23</v>
      </c>
    </row>
    <row r="72" customFormat="false" ht="15" hidden="false" customHeight="true" outlineLevel="0" collapsed="false">
      <c r="A72" s="14" t="n">
        <v>1070</v>
      </c>
      <c r="B72" s="14" t="s">
        <v>98</v>
      </c>
      <c r="C72" s="14" t="s">
        <v>43</v>
      </c>
      <c r="D72" s="14" t="s">
        <v>21</v>
      </c>
      <c r="E72" s="14" t="s">
        <v>31</v>
      </c>
      <c r="F72" s="15" t="n">
        <v>45313</v>
      </c>
      <c r="G72" s="16" t="n">
        <v>21000</v>
      </c>
      <c r="H72" s="14" t="s">
        <v>23</v>
      </c>
    </row>
    <row r="73" customFormat="false" ht="15" hidden="false" customHeight="true" outlineLevel="0" collapsed="false">
      <c r="A73" s="14" t="n">
        <v>1071</v>
      </c>
      <c r="B73" s="14" t="s">
        <v>29</v>
      </c>
      <c r="C73" s="14" t="s">
        <v>43</v>
      </c>
      <c r="D73" s="14" t="s">
        <v>30</v>
      </c>
      <c r="E73" s="14" t="s">
        <v>22</v>
      </c>
      <c r="F73" s="15" t="n">
        <v>44800</v>
      </c>
      <c r="G73" s="16" t="n">
        <v>24000</v>
      </c>
      <c r="H73" s="14" t="s">
        <v>23</v>
      </c>
    </row>
    <row r="74" customFormat="false" ht="15" hidden="false" customHeight="true" outlineLevel="0" collapsed="false">
      <c r="A74" s="14" t="n">
        <v>1072</v>
      </c>
      <c r="B74" s="14" t="s">
        <v>99</v>
      </c>
      <c r="C74" s="14" t="s">
        <v>37</v>
      </c>
      <c r="D74" s="14" t="s">
        <v>30</v>
      </c>
      <c r="E74" s="14" t="s">
        <v>31</v>
      </c>
      <c r="F74" s="15" t="n">
        <v>45493</v>
      </c>
      <c r="G74" s="16" t="n">
        <v>107000</v>
      </c>
      <c r="H74" s="14" t="s">
        <v>23</v>
      </c>
    </row>
    <row r="75" customFormat="false" ht="15" hidden="false" customHeight="true" outlineLevel="0" collapsed="false">
      <c r="A75" s="14" t="n">
        <v>1073</v>
      </c>
      <c r="B75" s="14" t="s">
        <v>100</v>
      </c>
      <c r="C75" s="14" t="s">
        <v>25</v>
      </c>
      <c r="D75" s="14" t="s">
        <v>21</v>
      </c>
      <c r="E75" s="14" t="s">
        <v>33</v>
      </c>
      <c r="F75" s="15" t="n">
        <v>44817</v>
      </c>
      <c r="G75" s="16" t="n">
        <v>-104000</v>
      </c>
      <c r="H75" s="14" t="s">
        <v>23</v>
      </c>
    </row>
    <row r="76" customFormat="false" ht="15" hidden="false" customHeight="true" outlineLevel="0" collapsed="false">
      <c r="A76" s="14" t="n">
        <v>1074</v>
      </c>
      <c r="B76" s="14" t="s">
        <v>101</v>
      </c>
      <c r="C76" s="14" t="s">
        <v>43</v>
      </c>
      <c r="D76" s="14" t="s">
        <v>21</v>
      </c>
      <c r="E76" s="14" t="s">
        <v>22</v>
      </c>
      <c r="F76" s="15" t="n">
        <v>43219</v>
      </c>
      <c r="G76" s="16" t="n">
        <v>32000</v>
      </c>
      <c r="H76" s="14" t="s">
        <v>23</v>
      </c>
    </row>
    <row r="77" customFormat="false" ht="15" hidden="false" customHeight="true" outlineLevel="0" collapsed="false">
      <c r="A77" s="14" t="n">
        <v>1075</v>
      </c>
      <c r="B77" s="14" t="s">
        <v>102</v>
      </c>
      <c r="C77" s="14" t="s">
        <v>43</v>
      </c>
      <c r="D77" s="14" t="s">
        <v>30</v>
      </c>
      <c r="E77" s="14" t="s">
        <v>26</v>
      </c>
      <c r="F77" s="15" t="n">
        <v>43623</v>
      </c>
      <c r="G77" s="16" t="n">
        <v>490000</v>
      </c>
      <c r="H77" s="14" t="s">
        <v>23</v>
      </c>
    </row>
    <row r="78" customFormat="false" ht="15" hidden="false" customHeight="true" outlineLevel="0" collapsed="false">
      <c r="A78" s="14" t="n">
        <v>1076</v>
      </c>
      <c r="B78" s="14" t="s">
        <v>103</v>
      </c>
      <c r="C78" s="14" t="s">
        <v>25</v>
      </c>
      <c r="D78" s="14" t="s">
        <v>30</v>
      </c>
      <c r="E78" s="14" t="s">
        <v>22</v>
      </c>
      <c r="F78" s="15" t="n">
        <v>45733</v>
      </c>
      <c r="G78" s="16" t="n">
        <v>29000</v>
      </c>
      <c r="H78" s="14" t="s">
        <v>23</v>
      </c>
    </row>
    <row r="79" customFormat="false" ht="15" hidden="false" customHeight="true" outlineLevel="0" collapsed="false">
      <c r="A79" s="14" t="n">
        <v>1077</v>
      </c>
      <c r="B79" s="14" t="s">
        <v>104</v>
      </c>
      <c r="C79" s="14" t="s">
        <v>43</v>
      </c>
      <c r="D79" s="14" t="s">
        <v>21</v>
      </c>
      <c r="E79" s="14" t="s">
        <v>31</v>
      </c>
      <c r="F79" s="15" t="n">
        <v>44963</v>
      </c>
      <c r="G79" s="16" t="n">
        <v>14000</v>
      </c>
      <c r="H79" s="14" t="s">
        <v>23</v>
      </c>
    </row>
    <row r="80" customFormat="false" ht="15" hidden="false" customHeight="true" outlineLevel="0" collapsed="false">
      <c r="A80" s="14" t="n">
        <v>1078</v>
      </c>
      <c r="B80" s="14" t="s">
        <v>105</v>
      </c>
      <c r="C80" s="14" t="s">
        <v>28</v>
      </c>
      <c r="D80" s="14" t="s">
        <v>52</v>
      </c>
      <c r="E80" s="14" t="s">
        <v>31</v>
      </c>
      <c r="F80" s="15" t="n">
        <v>44134</v>
      </c>
      <c r="G80" s="16" t="n">
        <v>461000</v>
      </c>
      <c r="H80" s="14" t="s">
        <v>23</v>
      </c>
    </row>
    <row r="81" customFormat="false" ht="15" hidden="false" customHeight="true" outlineLevel="0" collapsed="false">
      <c r="A81" s="14" t="n">
        <v>1079</v>
      </c>
      <c r="B81" s="14" t="s">
        <v>58</v>
      </c>
      <c r="C81" s="14" t="s">
        <v>25</v>
      </c>
      <c r="D81" s="14" t="s">
        <v>52</v>
      </c>
      <c r="E81" s="14" t="s">
        <v>31</v>
      </c>
      <c r="F81" s="15" t="n">
        <v>45763</v>
      </c>
      <c r="G81" s="16" t="n">
        <v>259000</v>
      </c>
      <c r="H81" s="14" t="s">
        <v>23</v>
      </c>
    </row>
    <row r="82" customFormat="false" ht="15" hidden="false" customHeight="true" outlineLevel="0" collapsed="false">
      <c r="A82" s="14" t="n">
        <v>1080</v>
      </c>
      <c r="B82" s="14" t="s">
        <v>106</v>
      </c>
      <c r="C82" s="14" t="s">
        <v>28</v>
      </c>
      <c r="D82" s="14" t="s">
        <v>21</v>
      </c>
      <c r="E82" s="14" t="s">
        <v>31</v>
      </c>
      <c r="F82" s="15" t="n">
        <v>44078</v>
      </c>
      <c r="G82" s="16" t="n">
        <v>10000</v>
      </c>
      <c r="H82" s="14" t="s">
        <v>23</v>
      </c>
    </row>
    <row r="83" customFormat="false" ht="15" hidden="false" customHeight="true" outlineLevel="0" collapsed="false">
      <c r="A83" s="14" t="n">
        <v>1081</v>
      </c>
      <c r="B83" s="14" t="s">
        <v>107</v>
      </c>
      <c r="C83" s="14" t="s">
        <v>20</v>
      </c>
      <c r="D83" s="14" t="s">
        <v>21</v>
      </c>
      <c r="E83" s="14" t="s">
        <v>33</v>
      </c>
      <c r="F83" s="15" t="n">
        <v>44611</v>
      </c>
      <c r="G83" s="16" t="n">
        <v>-70000</v>
      </c>
      <c r="H83" s="14" t="s">
        <v>23</v>
      </c>
    </row>
    <row r="84" customFormat="false" ht="15" hidden="false" customHeight="true" outlineLevel="0" collapsed="false">
      <c r="A84" s="14" t="n">
        <v>1082</v>
      </c>
      <c r="B84" s="14" t="s">
        <v>68</v>
      </c>
      <c r="C84" s="14" t="s">
        <v>35</v>
      </c>
      <c r="D84" s="14" t="s">
        <v>30</v>
      </c>
      <c r="E84" s="14" t="s">
        <v>26</v>
      </c>
      <c r="F84" s="15" t="n">
        <v>44375</v>
      </c>
      <c r="G84" s="16" t="n">
        <v>103000</v>
      </c>
      <c r="H84" s="14" t="s">
        <v>23</v>
      </c>
    </row>
    <row r="85" customFormat="false" ht="15" hidden="false" customHeight="true" outlineLevel="0" collapsed="false">
      <c r="A85" s="14" t="n">
        <v>1083</v>
      </c>
      <c r="B85" s="14" t="s">
        <v>108</v>
      </c>
      <c r="C85" s="14" t="s">
        <v>20</v>
      </c>
      <c r="D85" s="14" t="s">
        <v>52</v>
      </c>
      <c r="E85" s="14" t="s">
        <v>22</v>
      </c>
      <c r="F85" s="15" t="n">
        <v>44725</v>
      </c>
      <c r="G85" s="16" t="n">
        <v>414000</v>
      </c>
      <c r="H85" s="14" t="s">
        <v>23</v>
      </c>
    </row>
    <row r="86" customFormat="false" ht="15" hidden="false" customHeight="true" outlineLevel="0" collapsed="false">
      <c r="A86" s="14" t="n">
        <v>1084</v>
      </c>
      <c r="B86" s="14" t="s">
        <v>109</v>
      </c>
      <c r="C86" s="14" t="s">
        <v>28</v>
      </c>
      <c r="D86" s="14" t="s">
        <v>30</v>
      </c>
      <c r="E86" s="14" t="s">
        <v>31</v>
      </c>
      <c r="F86" s="15" t="n">
        <v>45903</v>
      </c>
      <c r="G86" s="16" t="n">
        <v>85000</v>
      </c>
      <c r="H86" s="14" t="s">
        <v>23</v>
      </c>
    </row>
    <row r="87" customFormat="false" ht="15" hidden="false" customHeight="true" outlineLevel="0" collapsed="false">
      <c r="A87" s="14" t="n">
        <v>1085</v>
      </c>
      <c r="B87" s="14" t="s">
        <v>72</v>
      </c>
      <c r="C87" s="14" t="s">
        <v>35</v>
      </c>
      <c r="D87" s="14" t="s">
        <v>21</v>
      </c>
      <c r="E87" s="14" t="s">
        <v>26</v>
      </c>
      <c r="F87" s="15" t="n">
        <v>45810</v>
      </c>
      <c r="G87" s="16" t="n">
        <v>239000</v>
      </c>
      <c r="H87" s="14" t="s">
        <v>23</v>
      </c>
    </row>
    <row r="88" customFormat="false" ht="15" hidden="false" customHeight="true" outlineLevel="0" collapsed="false">
      <c r="A88" s="14" t="n">
        <v>1086</v>
      </c>
      <c r="B88" s="14" t="s">
        <v>110</v>
      </c>
      <c r="C88" s="14" t="s">
        <v>43</v>
      </c>
      <c r="D88" s="14" t="s">
        <v>21</v>
      </c>
      <c r="E88" s="14" t="s">
        <v>31</v>
      </c>
      <c r="F88" s="15" t="n">
        <v>43533</v>
      </c>
      <c r="G88" s="16" t="n">
        <v>32000</v>
      </c>
      <c r="H88" s="14" t="s">
        <v>23</v>
      </c>
    </row>
    <row r="89" customFormat="false" ht="15" hidden="false" customHeight="true" outlineLevel="0" collapsed="false">
      <c r="A89" s="14" t="n">
        <v>1087</v>
      </c>
      <c r="B89" s="14" t="s">
        <v>111</v>
      </c>
      <c r="C89" s="14" t="s">
        <v>28</v>
      </c>
      <c r="D89" s="14" t="s">
        <v>21</v>
      </c>
      <c r="E89" s="14" t="s">
        <v>26</v>
      </c>
      <c r="F89" s="15" t="n">
        <v>45238</v>
      </c>
      <c r="G89" s="16" t="n">
        <v>395000</v>
      </c>
      <c r="H89" s="14" t="s">
        <v>23</v>
      </c>
    </row>
    <row r="90" customFormat="false" ht="15" hidden="false" customHeight="true" outlineLevel="0" collapsed="false">
      <c r="A90" s="14" t="n">
        <v>1088</v>
      </c>
      <c r="B90" s="14" t="s">
        <v>112</v>
      </c>
      <c r="C90" s="14" t="s">
        <v>37</v>
      </c>
      <c r="D90" s="14" t="s">
        <v>21</v>
      </c>
      <c r="E90" s="14" t="s">
        <v>26</v>
      </c>
      <c r="F90" s="15" t="n">
        <v>45527</v>
      </c>
      <c r="G90" s="16" t="n">
        <v>442000</v>
      </c>
      <c r="H90" s="14" t="s">
        <v>23</v>
      </c>
    </row>
    <row r="91" customFormat="false" ht="15" hidden="false" customHeight="true" outlineLevel="0" collapsed="false">
      <c r="A91" s="14" t="n">
        <v>1089</v>
      </c>
      <c r="B91" s="14" t="s">
        <v>113</v>
      </c>
      <c r="C91" s="14" t="s">
        <v>35</v>
      </c>
      <c r="D91" s="14" t="s">
        <v>21</v>
      </c>
      <c r="E91" s="14" t="s">
        <v>31</v>
      </c>
      <c r="F91" s="15" t="n">
        <v>45004</v>
      </c>
      <c r="G91" s="16" t="n">
        <v>49000</v>
      </c>
      <c r="H91" s="14" t="s">
        <v>23</v>
      </c>
    </row>
    <row r="92" customFormat="false" ht="15" hidden="false" customHeight="true" outlineLevel="0" collapsed="false">
      <c r="A92" s="14" t="n">
        <v>1090</v>
      </c>
      <c r="B92" s="14" t="s">
        <v>86</v>
      </c>
      <c r="C92" s="14" t="s">
        <v>35</v>
      </c>
      <c r="D92" s="14" t="s">
        <v>30</v>
      </c>
      <c r="E92" s="14" t="s">
        <v>31</v>
      </c>
      <c r="F92" s="15" t="n">
        <v>45098</v>
      </c>
      <c r="G92" s="16" t="n">
        <v>54000</v>
      </c>
      <c r="H92" s="14" t="s">
        <v>23</v>
      </c>
    </row>
    <row r="93" customFormat="false" ht="15" hidden="false" customHeight="true" outlineLevel="0" collapsed="false">
      <c r="A93" s="14" t="n">
        <v>1091</v>
      </c>
      <c r="B93" s="14" t="s">
        <v>114</v>
      </c>
      <c r="C93" s="14" t="s">
        <v>25</v>
      </c>
      <c r="D93" s="14" t="s">
        <v>21</v>
      </c>
      <c r="E93" s="14" t="s">
        <v>31</v>
      </c>
      <c r="F93" s="15" t="n">
        <v>44232</v>
      </c>
      <c r="G93" s="16" t="n">
        <v>57000</v>
      </c>
      <c r="H93" s="14" t="s">
        <v>23</v>
      </c>
    </row>
    <row r="94" customFormat="false" ht="15" hidden="false" customHeight="true" outlineLevel="0" collapsed="false">
      <c r="A94" s="14" t="n">
        <v>1092</v>
      </c>
      <c r="B94" s="14" t="s">
        <v>115</v>
      </c>
      <c r="C94" s="14" t="s">
        <v>43</v>
      </c>
      <c r="D94" s="14" t="s">
        <v>30</v>
      </c>
      <c r="E94" s="14" t="s">
        <v>31</v>
      </c>
      <c r="F94" s="15" t="n">
        <v>45375</v>
      </c>
      <c r="G94" s="16" t="n">
        <v>133000</v>
      </c>
      <c r="H94" s="14" t="s">
        <v>23</v>
      </c>
    </row>
    <row r="95" customFormat="false" ht="15" hidden="false" customHeight="true" outlineLevel="0" collapsed="false">
      <c r="A95" s="14" t="n">
        <v>1093</v>
      </c>
      <c r="B95" s="14" t="s">
        <v>93</v>
      </c>
      <c r="C95" s="14" t="s">
        <v>28</v>
      </c>
      <c r="D95" s="14" t="s">
        <v>21</v>
      </c>
      <c r="E95" s="14" t="s">
        <v>22</v>
      </c>
      <c r="F95" s="15" t="n">
        <v>44008</v>
      </c>
      <c r="G95" s="16" t="n">
        <v>19000</v>
      </c>
      <c r="H95" s="14" t="s">
        <v>23</v>
      </c>
    </row>
    <row r="96" customFormat="false" ht="15" hidden="false" customHeight="true" outlineLevel="0" collapsed="false">
      <c r="A96" s="14" t="n">
        <v>1094</v>
      </c>
      <c r="B96" s="14" t="s">
        <v>116</v>
      </c>
      <c r="C96" s="14" t="s">
        <v>43</v>
      </c>
      <c r="D96" s="14" t="s">
        <v>21</v>
      </c>
      <c r="E96" s="14" t="s">
        <v>31</v>
      </c>
      <c r="F96" s="15" t="n">
        <v>44843</v>
      </c>
      <c r="G96" s="16" t="n">
        <v>23000</v>
      </c>
      <c r="H96" s="14" t="s">
        <v>23</v>
      </c>
    </row>
    <row r="97" customFormat="false" ht="15" hidden="false" customHeight="true" outlineLevel="0" collapsed="false">
      <c r="A97" s="14" t="n">
        <v>1095</v>
      </c>
      <c r="B97" s="14" t="s">
        <v>117</v>
      </c>
      <c r="C97" s="14" t="s">
        <v>20</v>
      </c>
      <c r="D97" s="14" t="s">
        <v>21</v>
      </c>
      <c r="E97" s="14" t="s">
        <v>31</v>
      </c>
      <c r="F97" s="15" t="n">
        <v>43889</v>
      </c>
      <c r="G97" s="16" t="n">
        <v>8000</v>
      </c>
      <c r="H97" s="14" t="s">
        <v>23</v>
      </c>
    </row>
    <row r="98" customFormat="false" ht="15" hidden="false" customHeight="true" outlineLevel="0" collapsed="false">
      <c r="A98" s="14" t="n">
        <v>1096</v>
      </c>
      <c r="B98" s="14" t="s">
        <v>69</v>
      </c>
      <c r="C98" s="14" t="s">
        <v>37</v>
      </c>
      <c r="D98" s="14" t="s">
        <v>21</v>
      </c>
      <c r="E98" s="14" t="s">
        <v>31</v>
      </c>
      <c r="F98" s="15" t="n">
        <v>44233</v>
      </c>
      <c r="G98" s="16" t="n">
        <v>31000</v>
      </c>
      <c r="H98" s="14" t="s">
        <v>23</v>
      </c>
    </row>
    <row r="99" customFormat="false" ht="15" hidden="false" customHeight="true" outlineLevel="0" collapsed="false">
      <c r="A99" s="14" t="n">
        <v>1097</v>
      </c>
      <c r="B99" s="14" t="s">
        <v>118</v>
      </c>
      <c r="C99" s="14" t="s">
        <v>25</v>
      </c>
      <c r="D99" s="14" t="s">
        <v>21</v>
      </c>
      <c r="E99" s="14" t="s">
        <v>26</v>
      </c>
      <c r="F99" s="15" t="n">
        <v>43835</v>
      </c>
      <c r="G99" s="16" t="n">
        <v>204000</v>
      </c>
      <c r="H99" s="14" t="s">
        <v>23</v>
      </c>
    </row>
    <row r="100" customFormat="false" ht="15" hidden="false" customHeight="true" outlineLevel="0" collapsed="false">
      <c r="A100" s="14" t="n">
        <v>1098</v>
      </c>
      <c r="B100" s="14" t="s">
        <v>106</v>
      </c>
      <c r="C100" s="14" t="s">
        <v>37</v>
      </c>
      <c r="D100" s="14" t="s">
        <v>52</v>
      </c>
      <c r="E100" s="14" t="s">
        <v>31</v>
      </c>
      <c r="F100" s="15" t="n">
        <v>44297</v>
      </c>
      <c r="G100" s="16" t="n">
        <v>596000</v>
      </c>
      <c r="H100" s="14" t="s">
        <v>23</v>
      </c>
    </row>
    <row r="101" customFormat="false" ht="15" hidden="false" customHeight="true" outlineLevel="0" collapsed="false">
      <c r="A101" s="14" t="n">
        <v>1099</v>
      </c>
      <c r="B101" s="14" t="s">
        <v>119</v>
      </c>
      <c r="C101" s="14" t="s">
        <v>43</v>
      </c>
      <c r="D101" s="14" t="s">
        <v>21</v>
      </c>
      <c r="E101" s="14" t="s">
        <v>22</v>
      </c>
      <c r="F101" s="15" t="n">
        <v>44496</v>
      </c>
      <c r="G101" s="16" t="n">
        <v>29000</v>
      </c>
      <c r="H101" s="14" t="s">
        <v>23</v>
      </c>
    </row>
    <row r="102" customFormat="false" ht="15" hidden="false" customHeight="true" outlineLevel="0" collapsed="false">
      <c r="A102" s="14" t="n">
        <v>1100</v>
      </c>
      <c r="B102" s="14" t="s">
        <v>120</v>
      </c>
      <c r="C102" s="14" t="s">
        <v>28</v>
      </c>
      <c r="D102" s="14" t="s">
        <v>21</v>
      </c>
      <c r="E102" s="14" t="s">
        <v>31</v>
      </c>
      <c r="F102" s="15" t="n">
        <v>43404</v>
      </c>
      <c r="G102" s="16" t="n">
        <v>32000</v>
      </c>
      <c r="H102" s="14" t="s">
        <v>23</v>
      </c>
    </row>
    <row r="103" customFormat="false" ht="15" hidden="false" customHeight="true" outlineLevel="0" collapsed="false">
      <c r="A103" s="14" t="n">
        <v>1101</v>
      </c>
      <c r="B103" s="14" t="s">
        <v>27</v>
      </c>
      <c r="C103" s="14" t="s">
        <v>28</v>
      </c>
      <c r="D103" s="14" t="s">
        <v>21</v>
      </c>
      <c r="E103" s="14" t="s">
        <v>33</v>
      </c>
      <c r="F103" s="15" t="n">
        <v>43586</v>
      </c>
      <c r="G103" s="16" t="n">
        <v>-68000</v>
      </c>
      <c r="H103" s="14" t="s">
        <v>23</v>
      </c>
    </row>
    <row r="104" customFormat="false" ht="15" hidden="false" customHeight="true" outlineLevel="0" collapsed="false">
      <c r="A104" s="14" t="n">
        <v>1102</v>
      </c>
      <c r="B104" s="14" t="s">
        <v>121</v>
      </c>
      <c r="C104" s="14" t="s">
        <v>35</v>
      </c>
      <c r="D104" s="14" t="s">
        <v>21</v>
      </c>
      <c r="E104" s="14" t="s">
        <v>31</v>
      </c>
      <c r="F104" s="15" t="n">
        <v>44914</v>
      </c>
      <c r="G104" s="16" t="n">
        <v>29000</v>
      </c>
      <c r="H104" s="14" t="s">
        <v>49</v>
      </c>
    </row>
    <row r="105" customFormat="false" ht="15" hidden="false" customHeight="true" outlineLevel="0" collapsed="false">
      <c r="A105" s="14" t="n">
        <v>1103</v>
      </c>
      <c r="B105" s="14" t="s">
        <v>122</v>
      </c>
      <c r="C105" s="14" t="s">
        <v>37</v>
      </c>
      <c r="D105" s="14" t="s">
        <v>21</v>
      </c>
      <c r="E105" s="14" t="s">
        <v>22</v>
      </c>
      <c r="F105" s="15" t="n">
        <v>43507</v>
      </c>
      <c r="G105" s="16" t="n">
        <v>48000</v>
      </c>
      <c r="H105" s="14" t="s">
        <v>23</v>
      </c>
    </row>
    <row r="106" customFormat="false" ht="15" hidden="false" customHeight="true" outlineLevel="0" collapsed="false">
      <c r="A106" s="14" t="n">
        <v>1104</v>
      </c>
      <c r="B106" s="14" t="s">
        <v>123</v>
      </c>
      <c r="C106" s="14" t="s">
        <v>28</v>
      </c>
      <c r="D106" s="14" t="s">
        <v>21</v>
      </c>
      <c r="E106" s="14" t="s">
        <v>31</v>
      </c>
      <c r="F106" s="15" t="n">
        <v>43742</v>
      </c>
      <c r="G106" s="16" t="n">
        <v>5000</v>
      </c>
      <c r="H106" s="14" t="s">
        <v>23</v>
      </c>
    </row>
    <row r="107" customFormat="false" ht="15" hidden="false" customHeight="true" outlineLevel="0" collapsed="false">
      <c r="A107" s="14" t="n">
        <v>1105</v>
      </c>
      <c r="B107" s="14" t="s">
        <v>124</v>
      </c>
      <c r="C107" s="14" t="s">
        <v>25</v>
      </c>
      <c r="D107" s="14" t="s">
        <v>21</v>
      </c>
      <c r="E107" s="14" t="s">
        <v>22</v>
      </c>
      <c r="F107" s="15" t="n">
        <v>45996</v>
      </c>
      <c r="G107" s="16" t="n">
        <v>19000</v>
      </c>
      <c r="H107" s="14" t="s">
        <v>23</v>
      </c>
    </row>
    <row r="108" customFormat="false" ht="15" hidden="false" customHeight="true" outlineLevel="0" collapsed="false">
      <c r="A108" s="14" t="n">
        <v>1106</v>
      </c>
      <c r="B108" s="14" t="s">
        <v>88</v>
      </c>
      <c r="C108" s="14" t="s">
        <v>25</v>
      </c>
      <c r="D108" s="14" t="s">
        <v>30</v>
      </c>
      <c r="E108" s="14" t="s">
        <v>33</v>
      </c>
      <c r="F108" s="15" t="n">
        <v>45516</v>
      </c>
      <c r="G108" s="16" t="n">
        <v>-165000</v>
      </c>
      <c r="H108" s="14" t="s">
        <v>23</v>
      </c>
    </row>
    <row r="109" customFormat="false" ht="15" hidden="false" customHeight="true" outlineLevel="0" collapsed="false">
      <c r="A109" s="14" t="n">
        <v>1107</v>
      </c>
      <c r="B109" s="14" t="s">
        <v>58</v>
      </c>
      <c r="C109" s="14" t="s">
        <v>35</v>
      </c>
      <c r="D109" s="14" t="s">
        <v>52</v>
      </c>
      <c r="E109" s="14" t="s">
        <v>22</v>
      </c>
      <c r="F109" s="15" t="n">
        <v>43683</v>
      </c>
      <c r="G109" s="16" t="n">
        <v>876000</v>
      </c>
      <c r="H109" s="14" t="s">
        <v>23</v>
      </c>
    </row>
    <row r="110" customFormat="false" ht="15" hidden="false" customHeight="true" outlineLevel="0" collapsed="false">
      <c r="A110" s="14" t="n">
        <v>1108</v>
      </c>
      <c r="B110" s="14" t="s">
        <v>125</v>
      </c>
      <c r="C110" s="14" t="s">
        <v>20</v>
      </c>
      <c r="D110" s="14" t="s">
        <v>30</v>
      </c>
      <c r="E110" s="14" t="s">
        <v>22</v>
      </c>
      <c r="F110" s="15" t="n">
        <v>44899</v>
      </c>
      <c r="G110" s="16" t="n">
        <v>81000</v>
      </c>
      <c r="H110" s="14" t="s">
        <v>23</v>
      </c>
    </row>
    <row r="111" customFormat="false" ht="15" hidden="false" customHeight="true" outlineLevel="0" collapsed="false">
      <c r="A111" s="14" t="n">
        <v>1109</v>
      </c>
      <c r="B111" s="14" t="s">
        <v>126</v>
      </c>
      <c r="C111" s="14" t="s">
        <v>43</v>
      </c>
      <c r="D111" s="14" t="s">
        <v>21</v>
      </c>
      <c r="E111" s="14" t="s">
        <v>22</v>
      </c>
      <c r="F111" s="15" t="n">
        <v>45123</v>
      </c>
      <c r="G111" s="16" t="n">
        <v>35000</v>
      </c>
      <c r="H111" s="14" t="s">
        <v>23</v>
      </c>
    </row>
    <row r="112" customFormat="false" ht="15" hidden="false" customHeight="true" outlineLevel="0" collapsed="false">
      <c r="A112" s="14" t="n">
        <v>1110</v>
      </c>
      <c r="B112" s="14" t="s">
        <v>127</v>
      </c>
      <c r="C112" s="14" t="s">
        <v>37</v>
      </c>
      <c r="D112" s="14" t="s">
        <v>30</v>
      </c>
      <c r="E112" s="14" t="s">
        <v>26</v>
      </c>
      <c r="F112" s="15" t="n">
        <v>43475</v>
      </c>
      <c r="G112" s="16" t="n">
        <v>33000</v>
      </c>
      <c r="H112" s="14" t="s">
        <v>23</v>
      </c>
    </row>
    <row r="113" customFormat="false" ht="15" hidden="false" customHeight="true" outlineLevel="0" collapsed="false">
      <c r="A113" s="14" t="n">
        <v>1111</v>
      </c>
      <c r="B113" s="14" t="s">
        <v>128</v>
      </c>
      <c r="C113" s="14" t="s">
        <v>20</v>
      </c>
      <c r="D113" s="14" t="s">
        <v>30</v>
      </c>
      <c r="E113" s="14" t="s">
        <v>33</v>
      </c>
      <c r="F113" s="15" t="n">
        <v>45461</v>
      </c>
      <c r="G113" s="16" t="n">
        <v>-73000</v>
      </c>
      <c r="H113" s="14" t="s">
        <v>23</v>
      </c>
    </row>
    <row r="114" customFormat="false" ht="15" hidden="false" customHeight="true" outlineLevel="0" collapsed="false">
      <c r="A114" s="14" t="n">
        <v>1112</v>
      </c>
      <c r="B114" s="14" t="s">
        <v>129</v>
      </c>
      <c r="C114" s="14" t="s">
        <v>43</v>
      </c>
      <c r="D114" s="14" t="s">
        <v>21</v>
      </c>
      <c r="E114" s="14" t="s">
        <v>22</v>
      </c>
      <c r="F114" s="15" t="n">
        <v>44886</v>
      </c>
      <c r="G114" s="16" t="n">
        <v>38000</v>
      </c>
      <c r="H114" s="14" t="s">
        <v>23</v>
      </c>
    </row>
    <row r="115" customFormat="false" ht="15" hidden="false" customHeight="true" outlineLevel="0" collapsed="false">
      <c r="A115" s="14" t="n">
        <v>1113</v>
      </c>
      <c r="B115" s="14" t="s">
        <v>130</v>
      </c>
      <c r="C115" s="14" t="s">
        <v>43</v>
      </c>
      <c r="D115" s="14" t="s">
        <v>30</v>
      </c>
      <c r="E115" s="14" t="s">
        <v>31</v>
      </c>
      <c r="F115" s="15" t="n">
        <v>44451</v>
      </c>
      <c r="G115" s="16" t="n">
        <v>49000</v>
      </c>
      <c r="H115" s="14" t="s">
        <v>23</v>
      </c>
    </row>
    <row r="116" customFormat="false" ht="15" hidden="false" customHeight="true" outlineLevel="0" collapsed="false">
      <c r="A116" s="14" t="n">
        <v>1114</v>
      </c>
      <c r="B116" s="14" t="s">
        <v>131</v>
      </c>
      <c r="C116" s="14" t="s">
        <v>43</v>
      </c>
      <c r="D116" s="14" t="s">
        <v>21</v>
      </c>
      <c r="E116" s="14" t="s">
        <v>26</v>
      </c>
      <c r="F116" s="15" t="n">
        <v>43461</v>
      </c>
      <c r="G116" s="16" t="n">
        <v>252000</v>
      </c>
      <c r="H116" s="14" t="s">
        <v>23</v>
      </c>
    </row>
    <row r="117" customFormat="false" ht="15" hidden="false" customHeight="true" outlineLevel="0" collapsed="false">
      <c r="A117" s="14" t="n">
        <v>1115</v>
      </c>
      <c r="B117" s="14" t="s">
        <v>61</v>
      </c>
      <c r="C117" s="14" t="s">
        <v>25</v>
      </c>
      <c r="D117" s="14" t="s">
        <v>30</v>
      </c>
      <c r="E117" s="14" t="s">
        <v>33</v>
      </c>
      <c r="F117" s="15" t="n">
        <v>45794</v>
      </c>
      <c r="G117" s="16" t="n">
        <v>-5000</v>
      </c>
      <c r="H117" s="14" t="s">
        <v>23</v>
      </c>
    </row>
    <row r="118" customFormat="false" ht="15" hidden="false" customHeight="true" outlineLevel="0" collapsed="false">
      <c r="A118" s="14" t="n">
        <v>1116</v>
      </c>
      <c r="B118" s="14" t="s">
        <v>132</v>
      </c>
      <c r="C118" s="14" t="s">
        <v>28</v>
      </c>
      <c r="D118" s="14" t="s">
        <v>30</v>
      </c>
      <c r="E118" s="14" t="s">
        <v>22</v>
      </c>
      <c r="F118" s="15" t="n">
        <v>45662</v>
      </c>
      <c r="G118" s="16" t="n">
        <v>135000</v>
      </c>
      <c r="H118" s="14" t="s">
        <v>23</v>
      </c>
    </row>
    <row r="119" customFormat="false" ht="15" hidden="false" customHeight="true" outlineLevel="0" collapsed="false">
      <c r="A119" s="14" t="n">
        <v>1117</v>
      </c>
      <c r="B119" s="14" t="s">
        <v>133</v>
      </c>
      <c r="C119" s="14" t="s">
        <v>20</v>
      </c>
      <c r="D119" s="14" t="s">
        <v>21</v>
      </c>
      <c r="E119" s="14" t="s">
        <v>31</v>
      </c>
      <c r="F119" s="15" t="n">
        <v>45961</v>
      </c>
      <c r="G119" s="16" t="n">
        <v>57000</v>
      </c>
      <c r="H119" s="14" t="s">
        <v>23</v>
      </c>
    </row>
    <row r="120" customFormat="false" ht="15" hidden="false" customHeight="true" outlineLevel="0" collapsed="false">
      <c r="A120" s="14" t="n">
        <v>1118</v>
      </c>
      <c r="B120" s="14" t="s">
        <v>114</v>
      </c>
      <c r="C120" s="14" t="s">
        <v>37</v>
      </c>
      <c r="D120" s="14" t="s">
        <v>21</v>
      </c>
      <c r="E120" s="14" t="s">
        <v>22</v>
      </c>
      <c r="F120" s="15" t="n">
        <v>44373</v>
      </c>
      <c r="G120" s="16" t="n">
        <v>11000</v>
      </c>
      <c r="H120" s="14" t="s">
        <v>23</v>
      </c>
    </row>
    <row r="121" customFormat="false" ht="15" hidden="false" customHeight="true" outlineLevel="0" collapsed="false">
      <c r="A121" s="14" t="n">
        <v>1119</v>
      </c>
      <c r="B121" s="14" t="s">
        <v>74</v>
      </c>
      <c r="C121" s="14" t="s">
        <v>20</v>
      </c>
      <c r="D121" s="14" t="s">
        <v>30</v>
      </c>
      <c r="E121" s="14" t="s">
        <v>31</v>
      </c>
      <c r="F121" s="15" t="n">
        <v>44991</v>
      </c>
      <c r="G121" s="16" t="n">
        <v>37000</v>
      </c>
      <c r="H121" s="14" t="s">
        <v>23</v>
      </c>
    </row>
    <row r="122" customFormat="false" ht="15" hidden="false" customHeight="true" outlineLevel="0" collapsed="false">
      <c r="A122" s="14" t="n">
        <v>1120</v>
      </c>
      <c r="B122" s="14" t="s">
        <v>134</v>
      </c>
      <c r="C122" s="14" t="s">
        <v>25</v>
      </c>
      <c r="D122" s="14" t="s">
        <v>30</v>
      </c>
      <c r="E122" s="14" t="s">
        <v>31</v>
      </c>
      <c r="F122" s="15" t="n">
        <v>45077</v>
      </c>
      <c r="G122" s="16" t="n">
        <v>114000</v>
      </c>
      <c r="H122" s="14" t="s">
        <v>23</v>
      </c>
    </row>
    <row r="123" customFormat="false" ht="15" hidden="false" customHeight="true" outlineLevel="0" collapsed="false">
      <c r="A123" s="14" t="n">
        <v>1121</v>
      </c>
      <c r="B123" s="14" t="s">
        <v>135</v>
      </c>
      <c r="C123" s="14" t="s">
        <v>43</v>
      </c>
      <c r="D123" s="14" t="s">
        <v>52</v>
      </c>
      <c r="E123" s="14" t="s">
        <v>31</v>
      </c>
      <c r="F123" s="15" t="n">
        <v>43660</v>
      </c>
      <c r="G123" s="16" t="n">
        <v>550000</v>
      </c>
      <c r="H123" s="14" t="s">
        <v>23</v>
      </c>
    </row>
    <row r="124" customFormat="false" ht="15" hidden="false" customHeight="true" outlineLevel="0" collapsed="false">
      <c r="A124" s="14" t="n">
        <v>1122</v>
      </c>
      <c r="B124" s="14" t="s">
        <v>136</v>
      </c>
      <c r="C124" s="14" t="s">
        <v>28</v>
      </c>
      <c r="D124" s="14" t="s">
        <v>30</v>
      </c>
      <c r="E124" s="14" t="s">
        <v>31</v>
      </c>
      <c r="F124" s="15" t="n">
        <v>43111</v>
      </c>
      <c r="G124" s="16" t="n">
        <v>76000</v>
      </c>
      <c r="H124" s="14" t="s">
        <v>23</v>
      </c>
    </row>
    <row r="125" customFormat="false" ht="15" hidden="false" customHeight="true" outlineLevel="0" collapsed="false">
      <c r="A125" s="14" t="n">
        <v>1123</v>
      </c>
      <c r="B125" s="14" t="s">
        <v>137</v>
      </c>
      <c r="C125" s="14" t="s">
        <v>28</v>
      </c>
      <c r="D125" s="14" t="s">
        <v>21</v>
      </c>
      <c r="E125" s="14" t="s">
        <v>33</v>
      </c>
      <c r="F125" s="15" t="n">
        <v>44930</v>
      </c>
      <c r="G125" s="16" t="n">
        <v>-43000</v>
      </c>
      <c r="H125" s="14" t="s">
        <v>23</v>
      </c>
    </row>
    <row r="126" customFormat="false" ht="15" hidden="false" customHeight="true" outlineLevel="0" collapsed="false">
      <c r="A126" s="14" t="n">
        <v>1124</v>
      </c>
      <c r="B126" s="14" t="s">
        <v>138</v>
      </c>
      <c r="C126" s="14" t="s">
        <v>25</v>
      </c>
      <c r="D126" s="14" t="s">
        <v>21</v>
      </c>
      <c r="E126" s="14" t="s">
        <v>26</v>
      </c>
      <c r="F126" s="15" t="n">
        <v>44419</v>
      </c>
      <c r="G126" s="16" t="n">
        <v>497000</v>
      </c>
      <c r="H126" s="14" t="s">
        <v>23</v>
      </c>
    </row>
    <row r="127" customFormat="false" ht="15" hidden="false" customHeight="true" outlineLevel="0" collapsed="false">
      <c r="A127" s="14" t="n">
        <v>1125</v>
      </c>
      <c r="B127" s="14" t="s">
        <v>139</v>
      </c>
      <c r="C127" s="14" t="s">
        <v>20</v>
      </c>
      <c r="D127" s="14" t="s">
        <v>21</v>
      </c>
      <c r="E127" s="14" t="s">
        <v>33</v>
      </c>
      <c r="F127" s="15" t="n">
        <v>45038</v>
      </c>
      <c r="G127" s="16" t="n">
        <v>-86000</v>
      </c>
      <c r="H127" s="14" t="s">
        <v>49</v>
      </c>
    </row>
    <row r="128" customFormat="false" ht="15" hidden="false" customHeight="true" outlineLevel="0" collapsed="false">
      <c r="A128" s="14" t="n">
        <v>1126</v>
      </c>
      <c r="B128" s="14" t="s">
        <v>140</v>
      </c>
      <c r="C128" s="14" t="s">
        <v>37</v>
      </c>
      <c r="D128" s="14" t="s">
        <v>21</v>
      </c>
      <c r="E128" s="14" t="s">
        <v>33</v>
      </c>
      <c r="F128" s="15" t="n">
        <v>43618</v>
      </c>
      <c r="G128" s="16" t="n">
        <v>-14000</v>
      </c>
      <c r="H128" s="14" t="s">
        <v>23</v>
      </c>
    </row>
    <row r="129" customFormat="false" ht="15" hidden="false" customHeight="true" outlineLevel="0" collapsed="false">
      <c r="A129" s="14" t="n">
        <v>1127</v>
      </c>
      <c r="B129" s="14" t="s">
        <v>141</v>
      </c>
      <c r="C129" s="14" t="s">
        <v>20</v>
      </c>
      <c r="D129" s="14" t="s">
        <v>21</v>
      </c>
      <c r="E129" s="14" t="s">
        <v>33</v>
      </c>
      <c r="F129" s="15" t="n">
        <v>44972</v>
      </c>
      <c r="G129" s="16" t="n">
        <v>-139000</v>
      </c>
      <c r="H129" s="14" t="s">
        <v>23</v>
      </c>
    </row>
    <row r="130" customFormat="false" ht="15" hidden="false" customHeight="true" outlineLevel="0" collapsed="false">
      <c r="A130" s="14" t="n">
        <v>1128</v>
      </c>
      <c r="B130" s="14" t="s">
        <v>142</v>
      </c>
      <c r="C130" s="14" t="s">
        <v>20</v>
      </c>
      <c r="D130" s="14" t="s">
        <v>21</v>
      </c>
      <c r="E130" s="14" t="s">
        <v>33</v>
      </c>
      <c r="F130" s="15" t="n">
        <v>44186</v>
      </c>
      <c r="G130" s="16" t="n">
        <v>-205000</v>
      </c>
      <c r="H130" s="14" t="s">
        <v>23</v>
      </c>
    </row>
    <row r="131" customFormat="false" ht="15" hidden="false" customHeight="true" outlineLevel="0" collapsed="false">
      <c r="A131" s="14" t="n">
        <v>1129</v>
      </c>
      <c r="B131" s="14" t="s">
        <v>101</v>
      </c>
      <c r="C131" s="14" t="s">
        <v>43</v>
      </c>
      <c r="D131" s="14" t="s">
        <v>21</v>
      </c>
      <c r="E131" s="14" t="s">
        <v>31</v>
      </c>
      <c r="F131" s="15" t="n">
        <v>45286</v>
      </c>
      <c r="G131" s="16" t="n">
        <v>44000</v>
      </c>
      <c r="H131" s="14" t="s">
        <v>23</v>
      </c>
    </row>
    <row r="132" customFormat="false" ht="15" hidden="false" customHeight="true" outlineLevel="0" collapsed="false">
      <c r="A132" s="14" t="n">
        <v>1130</v>
      </c>
      <c r="B132" s="14" t="s">
        <v>91</v>
      </c>
      <c r="C132" s="14" t="s">
        <v>43</v>
      </c>
      <c r="D132" s="14" t="s">
        <v>21</v>
      </c>
      <c r="E132" s="14" t="s">
        <v>33</v>
      </c>
      <c r="F132" s="15" t="n">
        <v>44062</v>
      </c>
      <c r="G132" s="16" t="n">
        <v>-22000</v>
      </c>
      <c r="H132" s="14" t="s">
        <v>23</v>
      </c>
    </row>
    <row r="133" customFormat="false" ht="15" hidden="false" customHeight="true" outlineLevel="0" collapsed="false">
      <c r="A133" s="14" t="n">
        <v>1131</v>
      </c>
      <c r="B133" s="14" t="s">
        <v>143</v>
      </c>
      <c r="C133" s="14" t="s">
        <v>37</v>
      </c>
      <c r="D133" s="14" t="s">
        <v>30</v>
      </c>
      <c r="E133" s="14" t="s">
        <v>33</v>
      </c>
      <c r="F133" s="15" t="n">
        <v>43512</v>
      </c>
      <c r="G133" s="16" t="n">
        <v>-185000</v>
      </c>
      <c r="H133" s="14" t="s">
        <v>23</v>
      </c>
    </row>
    <row r="134" customFormat="false" ht="15" hidden="false" customHeight="true" outlineLevel="0" collapsed="false">
      <c r="A134" s="14" t="n">
        <v>1132</v>
      </c>
      <c r="B134" s="14" t="s">
        <v>144</v>
      </c>
      <c r="C134" s="14" t="s">
        <v>28</v>
      </c>
      <c r="D134" s="14" t="s">
        <v>30</v>
      </c>
      <c r="E134" s="14" t="s">
        <v>31</v>
      </c>
      <c r="F134" s="15" t="n">
        <v>44569</v>
      </c>
      <c r="G134" s="16" t="n">
        <v>83000</v>
      </c>
      <c r="H134" s="14" t="s">
        <v>23</v>
      </c>
    </row>
    <row r="135" customFormat="false" ht="15" hidden="false" customHeight="true" outlineLevel="0" collapsed="false">
      <c r="A135" s="14" t="n">
        <v>1133</v>
      </c>
      <c r="B135" s="14" t="s">
        <v>145</v>
      </c>
      <c r="C135" s="14" t="s">
        <v>43</v>
      </c>
      <c r="D135" s="14" t="s">
        <v>30</v>
      </c>
      <c r="E135" s="14" t="s">
        <v>22</v>
      </c>
      <c r="F135" s="15" t="n">
        <v>43797</v>
      </c>
      <c r="G135" s="16" t="n">
        <v>54000</v>
      </c>
      <c r="H135" s="14" t="s">
        <v>23</v>
      </c>
    </row>
    <row r="136" customFormat="false" ht="15" hidden="false" customHeight="true" outlineLevel="0" collapsed="false">
      <c r="A136" s="14" t="n">
        <v>1134</v>
      </c>
      <c r="B136" s="14" t="s">
        <v>146</v>
      </c>
      <c r="C136" s="14" t="s">
        <v>35</v>
      </c>
      <c r="D136" s="14" t="s">
        <v>21</v>
      </c>
      <c r="E136" s="14" t="s">
        <v>22</v>
      </c>
      <c r="F136" s="15" t="n">
        <v>45489</v>
      </c>
      <c r="G136" s="16" t="n">
        <v>59000</v>
      </c>
      <c r="H136" s="14" t="s">
        <v>23</v>
      </c>
    </row>
    <row r="137" customFormat="false" ht="15" hidden="false" customHeight="true" outlineLevel="0" collapsed="false">
      <c r="A137" s="14" t="n">
        <v>1135</v>
      </c>
      <c r="B137" s="14" t="s">
        <v>147</v>
      </c>
      <c r="C137" s="14" t="s">
        <v>35</v>
      </c>
      <c r="D137" s="14" t="s">
        <v>30</v>
      </c>
      <c r="E137" s="14" t="s">
        <v>22</v>
      </c>
      <c r="F137" s="15" t="n">
        <v>44279</v>
      </c>
      <c r="G137" s="16" t="n">
        <v>127000</v>
      </c>
      <c r="H137" s="14" t="s">
        <v>23</v>
      </c>
    </row>
    <row r="138" customFormat="false" ht="15" hidden="false" customHeight="true" outlineLevel="0" collapsed="false">
      <c r="A138" s="14" t="n">
        <v>1136</v>
      </c>
      <c r="B138" s="14" t="s">
        <v>148</v>
      </c>
      <c r="C138" s="14" t="s">
        <v>25</v>
      </c>
      <c r="D138" s="14" t="s">
        <v>21</v>
      </c>
      <c r="E138" s="14" t="s">
        <v>33</v>
      </c>
      <c r="F138" s="15" t="n">
        <v>45928</v>
      </c>
      <c r="G138" s="16" t="n">
        <v>-113000</v>
      </c>
      <c r="H138" s="14" t="s">
        <v>23</v>
      </c>
    </row>
    <row r="139" customFormat="false" ht="15" hidden="false" customHeight="true" outlineLevel="0" collapsed="false">
      <c r="A139" s="14" t="n">
        <v>1137</v>
      </c>
      <c r="B139" s="14" t="s">
        <v>85</v>
      </c>
      <c r="C139" s="14" t="s">
        <v>35</v>
      </c>
      <c r="D139" s="14" t="s">
        <v>30</v>
      </c>
      <c r="E139" s="14" t="s">
        <v>33</v>
      </c>
      <c r="F139" s="15" t="n">
        <v>44072</v>
      </c>
      <c r="G139" s="16" t="n">
        <v>-32000</v>
      </c>
      <c r="H139" s="14" t="s">
        <v>23</v>
      </c>
    </row>
    <row r="140" customFormat="false" ht="15" hidden="false" customHeight="true" outlineLevel="0" collapsed="false">
      <c r="A140" s="14" t="n">
        <v>1138</v>
      </c>
      <c r="B140" s="14" t="s">
        <v>149</v>
      </c>
      <c r="C140" s="14" t="s">
        <v>20</v>
      </c>
      <c r="D140" s="14" t="s">
        <v>21</v>
      </c>
      <c r="E140" s="14" t="s">
        <v>33</v>
      </c>
      <c r="F140" s="15" t="n">
        <v>45797</v>
      </c>
      <c r="G140" s="16" t="n">
        <v>-217000</v>
      </c>
      <c r="H140" s="14" t="s">
        <v>23</v>
      </c>
    </row>
    <row r="141" customFormat="false" ht="15" hidden="false" customHeight="true" outlineLevel="0" collapsed="false">
      <c r="A141" s="14" t="n">
        <v>1139</v>
      </c>
      <c r="B141" s="14" t="s">
        <v>150</v>
      </c>
      <c r="C141" s="14" t="s">
        <v>25</v>
      </c>
      <c r="D141" s="14" t="s">
        <v>52</v>
      </c>
      <c r="E141" s="14" t="s">
        <v>26</v>
      </c>
      <c r="F141" s="15" t="n">
        <v>45584</v>
      </c>
      <c r="G141" s="16" t="n">
        <v>486000</v>
      </c>
      <c r="H141" s="14" t="s">
        <v>23</v>
      </c>
    </row>
    <row r="142" customFormat="false" ht="15" hidden="false" customHeight="true" outlineLevel="0" collapsed="false">
      <c r="A142" s="14" t="n">
        <v>1140</v>
      </c>
      <c r="B142" s="14" t="s">
        <v>151</v>
      </c>
      <c r="C142" s="14" t="s">
        <v>20</v>
      </c>
      <c r="D142" s="14" t="s">
        <v>21</v>
      </c>
      <c r="E142" s="14" t="s">
        <v>22</v>
      </c>
      <c r="F142" s="15" t="n">
        <v>43879</v>
      </c>
      <c r="G142" s="16" t="n">
        <v>41000</v>
      </c>
      <c r="H142" s="14" t="s">
        <v>23</v>
      </c>
    </row>
    <row r="143" customFormat="false" ht="15" hidden="false" customHeight="true" outlineLevel="0" collapsed="false">
      <c r="A143" s="14" t="n">
        <v>1141</v>
      </c>
      <c r="B143" s="14" t="s">
        <v>60</v>
      </c>
      <c r="C143" s="14" t="s">
        <v>43</v>
      </c>
      <c r="D143" s="14" t="s">
        <v>30</v>
      </c>
      <c r="E143" s="14" t="s">
        <v>26</v>
      </c>
      <c r="F143" s="15" t="n">
        <v>45674</v>
      </c>
      <c r="G143" s="16" t="n">
        <v>90000</v>
      </c>
      <c r="H143" s="14" t="s">
        <v>23</v>
      </c>
    </row>
    <row r="144" customFormat="false" ht="15" hidden="false" customHeight="true" outlineLevel="0" collapsed="false">
      <c r="A144" s="14" t="n">
        <v>1142</v>
      </c>
      <c r="B144" s="14" t="s">
        <v>152</v>
      </c>
      <c r="C144" s="14" t="s">
        <v>25</v>
      </c>
      <c r="D144" s="14" t="s">
        <v>21</v>
      </c>
      <c r="E144" s="14" t="s">
        <v>31</v>
      </c>
      <c r="F144" s="15" t="n">
        <v>43470</v>
      </c>
      <c r="G144" s="16" t="n">
        <v>9000</v>
      </c>
      <c r="H144" s="14" t="s">
        <v>23</v>
      </c>
    </row>
    <row r="145" customFormat="false" ht="15" hidden="false" customHeight="true" outlineLevel="0" collapsed="false">
      <c r="A145" s="14" t="n">
        <v>1143</v>
      </c>
      <c r="B145" s="14" t="s">
        <v>153</v>
      </c>
      <c r="C145" s="14" t="s">
        <v>35</v>
      </c>
      <c r="D145" s="14" t="s">
        <v>30</v>
      </c>
      <c r="E145" s="14" t="s">
        <v>31</v>
      </c>
      <c r="F145" s="15" t="n">
        <v>45275</v>
      </c>
      <c r="G145" s="16" t="n">
        <v>101000</v>
      </c>
      <c r="H145" s="14" t="s">
        <v>23</v>
      </c>
    </row>
    <row r="146" customFormat="false" ht="15" hidden="false" customHeight="true" outlineLevel="0" collapsed="false">
      <c r="A146" s="14" t="n">
        <v>1144</v>
      </c>
      <c r="B146" s="14" t="s">
        <v>117</v>
      </c>
      <c r="C146" s="14" t="s">
        <v>37</v>
      </c>
      <c r="D146" s="14" t="s">
        <v>52</v>
      </c>
      <c r="E146" s="14" t="s">
        <v>33</v>
      </c>
      <c r="F146" s="15" t="n">
        <v>44309</v>
      </c>
      <c r="G146" s="16" t="n">
        <v>-211000</v>
      </c>
      <c r="H146" s="14" t="s">
        <v>23</v>
      </c>
    </row>
    <row r="147" customFormat="false" ht="15" hidden="false" customHeight="true" outlineLevel="0" collapsed="false">
      <c r="A147" s="14" t="n">
        <v>1145</v>
      </c>
      <c r="B147" s="14" t="s">
        <v>154</v>
      </c>
      <c r="C147" s="14" t="s">
        <v>43</v>
      </c>
      <c r="D147" s="14" t="s">
        <v>52</v>
      </c>
      <c r="E147" s="14" t="s">
        <v>31</v>
      </c>
      <c r="F147" s="15" t="n">
        <v>45863</v>
      </c>
      <c r="G147" s="16" t="n">
        <v>722000</v>
      </c>
      <c r="H147" s="14" t="s">
        <v>23</v>
      </c>
    </row>
    <row r="148" customFormat="false" ht="15" hidden="false" customHeight="true" outlineLevel="0" collapsed="false">
      <c r="A148" s="14" t="n">
        <v>1146</v>
      </c>
      <c r="B148" s="14" t="s">
        <v>155</v>
      </c>
      <c r="C148" s="14" t="s">
        <v>20</v>
      </c>
      <c r="D148" s="14" t="s">
        <v>21</v>
      </c>
      <c r="E148" s="14" t="s">
        <v>31</v>
      </c>
      <c r="F148" s="15" t="n">
        <v>44610</v>
      </c>
      <c r="G148" s="16" t="n">
        <v>30000</v>
      </c>
      <c r="H148" s="14" t="s">
        <v>23</v>
      </c>
    </row>
    <row r="149" customFormat="false" ht="15" hidden="false" customHeight="true" outlineLevel="0" collapsed="false">
      <c r="A149" s="14" t="n">
        <v>1147</v>
      </c>
      <c r="B149" s="14" t="s">
        <v>156</v>
      </c>
      <c r="C149" s="14" t="s">
        <v>28</v>
      </c>
      <c r="D149" s="14" t="s">
        <v>21</v>
      </c>
      <c r="E149" s="14" t="s">
        <v>33</v>
      </c>
      <c r="F149" s="15" t="n">
        <v>45032</v>
      </c>
      <c r="G149" s="16" t="n">
        <v>-64000</v>
      </c>
      <c r="H149" s="14" t="s">
        <v>49</v>
      </c>
    </row>
    <row r="150" customFormat="false" ht="15" hidden="false" customHeight="true" outlineLevel="0" collapsed="false">
      <c r="A150" s="14" t="n">
        <v>1148</v>
      </c>
      <c r="B150" s="14" t="s">
        <v>157</v>
      </c>
      <c r="C150" s="14" t="s">
        <v>37</v>
      </c>
      <c r="D150" s="14" t="s">
        <v>30</v>
      </c>
      <c r="E150" s="14" t="s">
        <v>31</v>
      </c>
      <c r="F150" s="15" t="n">
        <v>43359</v>
      </c>
      <c r="G150" s="16" t="n">
        <v>173000</v>
      </c>
      <c r="H150" s="14" t="s">
        <v>23</v>
      </c>
    </row>
    <row r="151" customFormat="false" ht="15" hidden="false" customHeight="true" outlineLevel="0" collapsed="false">
      <c r="A151" s="14" t="n">
        <v>1149</v>
      </c>
      <c r="B151" s="14" t="s">
        <v>158</v>
      </c>
      <c r="C151" s="14" t="s">
        <v>28</v>
      </c>
      <c r="D151" s="14" t="s">
        <v>52</v>
      </c>
      <c r="E151" s="14" t="s">
        <v>31</v>
      </c>
      <c r="F151" s="15" t="n">
        <v>45118</v>
      </c>
      <c r="G151" s="16" t="n">
        <v>341000</v>
      </c>
      <c r="H151" s="14" t="s">
        <v>23</v>
      </c>
    </row>
    <row r="152" customFormat="false" ht="15" hidden="false" customHeight="true" outlineLevel="0" collapsed="false">
      <c r="A152" s="14" t="n">
        <v>1150</v>
      </c>
      <c r="B152" s="14" t="s">
        <v>27</v>
      </c>
      <c r="C152" s="14" t="s">
        <v>20</v>
      </c>
      <c r="D152" s="14" t="s">
        <v>21</v>
      </c>
      <c r="E152" s="14" t="s">
        <v>31</v>
      </c>
      <c r="F152" s="15" t="n">
        <v>45953</v>
      </c>
      <c r="G152" s="16" t="n">
        <v>43000</v>
      </c>
      <c r="H152" s="14" t="s">
        <v>23</v>
      </c>
    </row>
    <row r="153" customFormat="false" ht="15" hidden="false" customHeight="true" outlineLevel="0" collapsed="false">
      <c r="A153" s="14" t="n">
        <v>1151</v>
      </c>
      <c r="B153" s="14" t="s">
        <v>159</v>
      </c>
      <c r="C153" s="14" t="s">
        <v>35</v>
      </c>
      <c r="D153" s="14" t="s">
        <v>21</v>
      </c>
      <c r="E153" s="14" t="s">
        <v>31</v>
      </c>
      <c r="F153" s="15" t="n">
        <v>45105</v>
      </c>
      <c r="G153" s="16" t="n">
        <v>7000</v>
      </c>
      <c r="H153" s="14" t="s">
        <v>49</v>
      </c>
    </row>
    <row r="154" customFormat="false" ht="15" hidden="false" customHeight="true" outlineLevel="0" collapsed="false">
      <c r="A154" s="14" t="n">
        <v>1152</v>
      </c>
      <c r="B154" s="14" t="s">
        <v>160</v>
      </c>
      <c r="C154" s="14" t="s">
        <v>20</v>
      </c>
      <c r="D154" s="14" t="s">
        <v>21</v>
      </c>
      <c r="E154" s="14" t="s">
        <v>31</v>
      </c>
      <c r="F154" s="15" t="n">
        <v>44922</v>
      </c>
      <c r="G154" s="16" t="n">
        <v>29000</v>
      </c>
      <c r="H154" s="14" t="s">
        <v>23</v>
      </c>
    </row>
    <row r="155" customFormat="false" ht="15" hidden="false" customHeight="true" outlineLevel="0" collapsed="false">
      <c r="A155" s="14" t="n">
        <v>1153</v>
      </c>
      <c r="B155" s="14" t="s">
        <v>161</v>
      </c>
      <c r="C155" s="14" t="s">
        <v>37</v>
      </c>
      <c r="D155" s="14" t="s">
        <v>52</v>
      </c>
      <c r="E155" s="14" t="s">
        <v>31</v>
      </c>
      <c r="F155" s="15" t="n">
        <v>44570</v>
      </c>
      <c r="G155" s="16" t="n">
        <v>690000</v>
      </c>
      <c r="H155" s="14" t="s">
        <v>23</v>
      </c>
    </row>
    <row r="156" customFormat="false" ht="15" hidden="false" customHeight="true" outlineLevel="0" collapsed="false">
      <c r="A156" s="14" t="n">
        <v>1154</v>
      </c>
      <c r="B156" s="14" t="s">
        <v>162</v>
      </c>
      <c r="C156" s="14" t="s">
        <v>37</v>
      </c>
      <c r="D156" s="14" t="s">
        <v>30</v>
      </c>
      <c r="E156" s="14" t="s">
        <v>33</v>
      </c>
      <c r="F156" s="15" t="n">
        <v>45815</v>
      </c>
      <c r="G156" s="16" t="n">
        <v>-28000</v>
      </c>
      <c r="H156" s="14" t="s">
        <v>49</v>
      </c>
    </row>
    <row r="157" customFormat="false" ht="15" hidden="false" customHeight="true" outlineLevel="0" collapsed="false">
      <c r="A157" s="14" t="n">
        <v>1155</v>
      </c>
      <c r="B157" s="14" t="s">
        <v>108</v>
      </c>
      <c r="C157" s="14" t="s">
        <v>28</v>
      </c>
      <c r="D157" s="14" t="s">
        <v>21</v>
      </c>
      <c r="E157" s="14" t="s">
        <v>26</v>
      </c>
      <c r="F157" s="15" t="n">
        <v>45413</v>
      </c>
      <c r="G157" s="16" t="n">
        <v>84000</v>
      </c>
      <c r="H157" s="14" t="s">
        <v>23</v>
      </c>
    </row>
    <row r="158" customFormat="false" ht="15" hidden="false" customHeight="true" outlineLevel="0" collapsed="false">
      <c r="A158" s="14" t="n">
        <v>1156</v>
      </c>
      <c r="B158" s="14" t="s">
        <v>163</v>
      </c>
      <c r="C158" s="14" t="s">
        <v>28</v>
      </c>
      <c r="D158" s="14" t="s">
        <v>21</v>
      </c>
      <c r="E158" s="14" t="s">
        <v>31</v>
      </c>
      <c r="F158" s="15" t="n">
        <v>44055</v>
      </c>
      <c r="G158" s="16" t="n">
        <v>56000</v>
      </c>
      <c r="H158" s="14" t="s">
        <v>23</v>
      </c>
    </row>
    <row r="159" customFormat="false" ht="15" hidden="false" customHeight="true" outlineLevel="0" collapsed="false">
      <c r="A159" s="14" t="n">
        <v>1157</v>
      </c>
      <c r="B159" s="14" t="s">
        <v>42</v>
      </c>
      <c r="C159" s="14" t="s">
        <v>37</v>
      </c>
      <c r="D159" s="14" t="s">
        <v>30</v>
      </c>
      <c r="E159" s="14" t="s">
        <v>31</v>
      </c>
      <c r="F159" s="15" t="n">
        <v>43633</v>
      </c>
      <c r="G159" s="16" t="n">
        <v>45000</v>
      </c>
      <c r="H159" s="14" t="s">
        <v>23</v>
      </c>
    </row>
    <row r="160" customFormat="false" ht="15" hidden="false" customHeight="true" outlineLevel="0" collapsed="false">
      <c r="A160" s="14" t="n">
        <v>1158</v>
      </c>
      <c r="B160" s="14" t="s">
        <v>127</v>
      </c>
      <c r="C160" s="14" t="s">
        <v>25</v>
      </c>
      <c r="D160" s="14" t="s">
        <v>21</v>
      </c>
      <c r="E160" s="14" t="s">
        <v>22</v>
      </c>
      <c r="F160" s="15" t="n">
        <v>44568</v>
      </c>
      <c r="G160" s="16" t="n">
        <v>1000</v>
      </c>
      <c r="H160" s="14" t="s">
        <v>23</v>
      </c>
    </row>
    <row r="161" customFormat="false" ht="15" hidden="false" customHeight="true" outlineLevel="0" collapsed="false">
      <c r="A161" s="14" t="n">
        <v>1159</v>
      </c>
      <c r="B161" s="14" t="s">
        <v>164</v>
      </c>
      <c r="C161" s="14" t="s">
        <v>35</v>
      </c>
      <c r="D161" s="14" t="s">
        <v>21</v>
      </c>
      <c r="E161" s="14" t="s">
        <v>31</v>
      </c>
      <c r="F161" s="15" t="n">
        <v>45255</v>
      </c>
      <c r="G161" s="16" t="n">
        <v>27000</v>
      </c>
      <c r="H161" s="14" t="s">
        <v>23</v>
      </c>
    </row>
    <row r="162" customFormat="false" ht="15" hidden="false" customHeight="true" outlineLevel="0" collapsed="false">
      <c r="A162" s="14" t="n">
        <v>1160</v>
      </c>
      <c r="B162" s="14" t="s">
        <v>165</v>
      </c>
      <c r="C162" s="14" t="s">
        <v>20</v>
      </c>
      <c r="D162" s="14" t="s">
        <v>21</v>
      </c>
      <c r="E162" s="14" t="s">
        <v>22</v>
      </c>
      <c r="F162" s="15" t="n">
        <v>44008</v>
      </c>
      <c r="G162" s="16" t="n">
        <v>33000</v>
      </c>
      <c r="H162" s="14" t="s">
        <v>23</v>
      </c>
    </row>
    <row r="163" customFormat="false" ht="15" hidden="false" customHeight="true" outlineLevel="0" collapsed="false">
      <c r="A163" s="14" t="n">
        <v>1161</v>
      </c>
      <c r="B163" s="14" t="s">
        <v>166</v>
      </c>
      <c r="C163" s="14" t="s">
        <v>37</v>
      </c>
      <c r="D163" s="14" t="s">
        <v>21</v>
      </c>
      <c r="E163" s="14" t="s">
        <v>22</v>
      </c>
      <c r="F163" s="15" t="n">
        <v>43350</v>
      </c>
      <c r="G163" s="16" t="n">
        <v>2000</v>
      </c>
      <c r="H163" s="14" t="s">
        <v>23</v>
      </c>
    </row>
    <row r="164" customFormat="false" ht="15" hidden="false" customHeight="true" outlineLevel="0" collapsed="false">
      <c r="A164" s="14" t="n">
        <v>1162</v>
      </c>
      <c r="B164" s="14" t="s">
        <v>142</v>
      </c>
      <c r="C164" s="14" t="s">
        <v>25</v>
      </c>
      <c r="D164" s="14" t="s">
        <v>52</v>
      </c>
      <c r="E164" s="14" t="s">
        <v>22</v>
      </c>
      <c r="F164" s="15" t="n">
        <v>43431</v>
      </c>
      <c r="G164" s="16" t="n">
        <v>105000</v>
      </c>
      <c r="H164" s="14" t="s">
        <v>23</v>
      </c>
    </row>
    <row r="165" customFormat="false" ht="15" hidden="false" customHeight="true" outlineLevel="0" collapsed="false">
      <c r="A165" s="14" t="n">
        <v>1163</v>
      </c>
      <c r="B165" s="14" t="s">
        <v>167</v>
      </c>
      <c r="C165" s="14" t="s">
        <v>43</v>
      </c>
      <c r="D165" s="14" t="s">
        <v>30</v>
      </c>
      <c r="E165" s="14" t="s">
        <v>31</v>
      </c>
      <c r="F165" s="15" t="n">
        <v>44432</v>
      </c>
      <c r="G165" s="16" t="n">
        <v>148000</v>
      </c>
      <c r="H165" s="14" t="s">
        <v>23</v>
      </c>
    </row>
    <row r="166" customFormat="false" ht="15" hidden="false" customHeight="true" outlineLevel="0" collapsed="false">
      <c r="A166" s="14" t="n">
        <v>1164</v>
      </c>
      <c r="B166" s="14" t="s">
        <v>168</v>
      </c>
      <c r="C166" s="14" t="s">
        <v>25</v>
      </c>
      <c r="D166" s="14" t="s">
        <v>21</v>
      </c>
      <c r="E166" s="14" t="s">
        <v>22</v>
      </c>
      <c r="F166" s="15" t="n">
        <v>45975</v>
      </c>
      <c r="G166" s="16" t="n">
        <v>51000</v>
      </c>
      <c r="H166" s="14" t="s">
        <v>23</v>
      </c>
    </row>
    <row r="167" customFormat="false" ht="15" hidden="false" customHeight="true" outlineLevel="0" collapsed="false">
      <c r="A167" s="14" t="n">
        <v>1165</v>
      </c>
      <c r="B167" s="14" t="s">
        <v>169</v>
      </c>
      <c r="C167" s="14" t="s">
        <v>37</v>
      </c>
      <c r="D167" s="14" t="s">
        <v>52</v>
      </c>
      <c r="E167" s="14" t="s">
        <v>22</v>
      </c>
      <c r="F167" s="15" t="n">
        <v>44489</v>
      </c>
      <c r="G167" s="16" t="n">
        <v>453000</v>
      </c>
      <c r="H167" s="14" t="s">
        <v>23</v>
      </c>
    </row>
    <row r="168" customFormat="false" ht="15" hidden="false" customHeight="true" outlineLevel="0" collapsed="false">
      <c r="A168" s="14" t="n">
        <v>1166</v>
      </c>
      <c r="B168" s="14" t="s">
        <v>106</v>
      </c>
      <c r="C168" s="14" t="s">
        <v>37</v>
      </c>
      <c r="D168" s="14" t="s">
        <v>21</v>
      </c>
      <c r="E168" s="14" t="s">
        <v>31</v>
      </c>
      <c r="F168" s="15" t="n">
        <v>44634</v>
      </c>
      <c r="G168" s="16" t="n">
        <v>17000</v>
      </c>
      <c r="H168" s="14" t="s">
        <v>23</v>
      </c>
    </row>
    <row r="169" customFormat="false" ht="15" hidden="false" customHeight="true" outlineLevel="0" collapsed="false">
      <c r="A169" s="14" t="n">
        <v>1167</v>
      </c>
      <c r="B169" s="14" t="s">
        <v>78</v>
      </c>
      <c r="C169" s="14" t="s">
        <v>28</v>
      </c>
      <c r="D169" s="14" t="s">
        <v>21</v>
      </c>
      <c r="E169" s="14" t="s">
        <v>31</v>
      </c>
      <c r="F169" s="15" t="n">
        <v>44627</v>
      </c>
      <c r="G169" s="16" t="n">
        <v>48000</v>
      </c>
      <c r="H169" s="14" t="s">
        <v>23</v>
      </c>
    </row>
    <row r="170" customFormat="false" ht="15" hidden="false" customHeight="true" outlineLevel="0" collapsed="false">
      <c r="A170" s="14" t="n">
        <v>1168</v>
      </c>
      <c r="B170" s="14" t="s">
        <v>170</v>
      </c>
      <c r="C170" s="14" t="s">
        <v>28</v>
      </c>
      <c r="D170" s="14" t="s">
        <v>30</v>
      </c>
      <c r="E170" s="14" t="s">
        <v>22</v>
      </c>
      <c r="F170" s="15" t="n">
        <v>44549</v>
      </c>
      <c r="G170" s="16" t="n">
        <v>113000</v>
      </c>
      <c r="H170" s="14" t="s">
        <v>49</v>
      </c>
    </row>
    <row r="171" customFormat="false" ht="15" hidden="false" customHeight="true" outlineLevel="0" collapsed="false">
      <c r="A171" s="14" t="n">
        <v>1169</v>
      </c>
      <c r="B171" s="14" t="s">
        <v>106</v>
      </c>
      <c r="C171" s="14" t="s">
        <v>37</v>
      </c>
      <c r="D171" s="14" t="s">
        <v>21</v>
      </c>
      <c r="E171" s="14" t="s">
        <v>31</v>
      </c>
      <c r="F171" s="15" t="n">
        <v>43972</v>
      </c>
      <c r="G171" s="16" t="n">
        <v>33000</v>
      </c>
      <c r="H171" s="14" t="s">
        <v>23</v>
      </c>
    </row>
    <row r="172" customFormat="false" ht="15" hidden="false" customHeight="true" outlineLevel="0" collapsed="false">
      <c r="A172" s="14" t="n">
        <v>1170</v>
      </c>
      <c r="B172" s="14" t="s">
        <v>171</v>
      </c>
      <c r="C172" s="14" t="s">
        <v>28</v>
      </c>
      <c r="D172" s="14" t="s">
        <v>21</v>
      </c>
      <c r="E172" s="14" t="s">
        <v>31</v>
      </c>
      <c r="F172" s="15" t="n">
        <v>44242</v>
      </c>
      <c r="G172" s="16" t="n">
        <v>8000</v>
      </c>
      <c r="H172" s="14" t="s">
        <v>23</v>
      </c>
    </row>
    <row r="173" customFormat="false" ht="15" hidden="false" customHeight="true" outlineLevel="0" collapsed="false">
      <c r="A173" s="14" t="n">
        <v>1171</v>
      </c>
      <c r="B173" s="14" t="s">
        <v>114</v>
      </c>
      <c r="C173" s="14" t="s">
        <v>20</v>
      </c>
      <c r="D173" s="14" t="s">
        <v>30</v>
      </c>
      <c r="E173" s="14" t="s">
        <v>33</v>
      </c>
      <c r="F173" s="15" t="n">
        <v>45865</v>
      </c>
      <c r="G173" s="16" t="n">
        <v>-162000</v>
      </c>
      <c r="H173" s="14" t="s">
        <v>23</v>
      </c>
    </row>
    <row r="174" customFormat="false" ht="15" hidden="false" customHeight="true" outlineLevel="0" collapsed="false">
      <c r="A174" s="14" t="n">
        <v>1172</v>
      </c>
      <c r="B174" s="14" t="s">
        <v>152</v>
      </c>
      <c r="C174" s="14" t="s">
        <v>25</v>
      </c>
      <c r="D174" s="14" t="s">
        <v>21</v>
      </c>
      <c r="E174" s="14" t="s">
        <v>26</v>
      </c>
      <c r="F174" s="15" t="n">
        <v>44220</v>
      </c>
      <c r="G174" s="16" t="n">
        <v>112000</v>
      </c>
      <c r="H174" s="14" t="s">
        <v>23</v>
      </c>
    </row>
    <row r="175" customFormat="false" ht="15" hidden="false" customHeight="true" outlineLevel="0" collapsed="false">
      <c r="A175" s="14" t="n">
        <v>1173</v>
      </c>
      <c r="B175" s="14" t="s">
        <v>172</v>
      </c>
      <c r="C175" s="14" t="s">
        <v>28</v>
      </c>
      <c r="D175" s="14" t="s">
        <v>21</v>
      </c>
      <c r="E175" s="14" t="s">
        <v>33</v>
      </c>
      <c r="F175" s="15" t="n">
        <v>43386</v>
      </c>
      <c r="G175" s="16" t="n">
        <v>-107000</v>
      </c>
      <c r="H175" s="14" t="s">
        <v>23</v>
      </c>
    </row>
    <row r="176" customFormat="false" ht="15" hidden="false" customHeight="true" outlineLevel="0" collapsed="false">
      <c r="A176" s="14" t="n">
        <v>1174</v>
      </c>
      <c r="B176" s="14" t="s">
        <v>173</v>
      </c>
      <c r="C176" s="14" t="s">
        <v>28</v>
      </c>
      <c r="D176" s="14" t="s">
        <v>21</v>
      </c>
      <c r="E176" s="14" t="s">
        <v>31</v>
      </c>
      <c r="F176" s="15" t="n">
        <v>43745</v>
      </c>
      <c r="G176" s="16" t="n">
        <v>22000</v>
      </c>
      <c r="H176" s="14" t="s">
        <v>23</v>
      </c>
    </row>
    <row r="177" customFormat="false" ht="15" hidden="false" customHeight="true" outlineLevel="0" collapsed="false">
      <c r="A177" s="14" t="n">
        <v>1175</v>
      </c>
      <c r="B177" s="14" t="s">
        <v>165</v>
      </c>
      <c r="C177" s="14" t="s">
        <v>35</v>
      </c>
      <c r="D177" s="14" t="s">
        <v>52</v>
      </c>
      <c r="E177" s="14" t="s">
        <v>22</v>
      </c>
      <c r="F177" s="15" t="n">
        <v>43745</v>
      </c>
      <c r="G177" s="16" t="n">
        <v>189000</v>
      </c>
      <c r="H177" s="14" t="s">
        <v>23</v>
      </c>
    </row>
    <row r="178" customFormat="false" ht="15" hidden="false" customHeight="true" outlineLevel="0" collapsed="false">
      <c r="A178" s="14" t="n">
        <v>1176</v>
      </c>
      <c r="B178" s="14" t="s">
        <v>174</v>
      </c>
      <c r="C178" s="14" t="s">
        <v>28</v>
      </c>
      <c r="D178" s="14" t="s">
        <v>21</v>
      </c>
      <c r="E178" s="14" t="s">
        <v>22</v>
      </c>
      <c r="F178" s="15" t="n">
        <v>44911</v>
      </c>
      <c r="G178" s="16" t="n">
        <v>39000</v>
      </c>
      <c r="H178" s="14" t="s">
        <v>23</v>
      </c>
    </row>
    <row r="179" customFormat="false" ht="15" hidden="false" customHeight="true" outlineLevel="0" collapsed="false">
      <c r="A179" s="14" t="n">
        <v>1177</v>
      </c>
      <c r="B179" s="14" t="s">
        <v>175</v>
      </c>
      <c r="C179" s="14" t="s">
        <v>35</v>
      </c>
      <c r="D179" s="14" t="s">
        <v>21</v>
      </c>
      <c r="E179" s="14" t="s">
        <v>31</v>
      </c>
      <c r="F179" s="15" t="n">
        <v>45878</v>
      </c>
      <c r="G179" s="16" t="n">
        <v>19000</v>
      </c>
      <c r="H179" s="14" t="s">
        <v>23</v>
      </c>
    </row>
    <row r="180" customFormat="false" ht="15" hidden="false" customHeight="true" outlineLevel="0" collapsed="false">
      <c r="A180" s="14" t="n">
        <v>1178</v>
      </c>
      <c r="B180" s="14" t="s">
        <v>176</v>
      </c>
      <c r="C180" s="14" t="s">
        <v>25</v>
      </c>
      <c r="D180" s="14" t="s">
        <v>21</v>
      </c>
      <c r="E180" s="14" t="s">
        <v>31</v>
      </c>
      <c r="F180" s="15" t="n">
        <v>43325</v>
      </c>
      <c r="G180" s="16" t="n">
        <v>39000</v>
      </c>
      <c r="H180" s="14" t="s">
        <v>23</v>
      </c>
    </row>
    <row r="181" customFormat="false" ht="15" hidden="false" customHeight="true" outlineLevel="0" collapsed="false">
      <c r="A181" s="14" t="n">
        <v>1179</v>
      </c>
      <c r="B181" s="14" t="s">
        <v>177</v>
      </c>
      <c r="C181" s="14" t="s">
        <v>43</v>
      </c>
      <c r="D181" s="14" t="s">
        <v>30</v>
      </c>
      <c r="E181" s="14" t="s">
        <v>26</v>
      </c>
      <c r="F181" s="15" t="n">
        <v>44444</v>
      </c>
      <c r="G181" s="16" t="n">
        <v>168000</v>
      </c>
      <c r="H181" s="14" t="s">
        <v>23</v>
      </c>
    </row>
    <row r="182" customFormat="false" ht="15" hidden="false" customHeight="true" outlineLevel="0" collapsed="false">
      <c r="A182" s="14" t="n">
        <v>1180</v>
      </c>
      <c r="B182" s="14" t="s">
        <v>178</v>
      </c>
      <c r="C182" s="14" t="s">
        <v>35</v>
      </c>
      <c r="D182" s="14" t="s">
        <v>21</v>
      </c>
      <c r="E182" s="14" t="s">
        <v>31</v>
      </c>
      <c r="F182" s="15" t="n">
        <v>44043</v>
      </c>
      <c r="G182" s="16" t="n">
        <v>46000</v>
      </c>
      <c r="H182" s="14" t="s">
        <v>23</v>
      </c>
    </row>
    <row r="183" customFormat="false" ht="15" hidden="false" customHeight="true" outlineLevel="0" collapsed="false">
      <c r="A183" s="14" t="n">
        <v>1181</v>
      </c>
      <c r="B183" s="14" t="s">
        <v>179</v>
      </c>
      <c r="C183" s="14" t="s">
        <v>35</v>
      </c>
      <c r="D183" s="14" t="s">
        <v>30</v>
      </c>
      <c r="E183" s="14" t="s">
        <v>31</v>
      </c>
      <c r="F183" s="15" t="n">
        <v>44887</v>
      </c>
      <c r="G183" s="16" t="n">
        <v>18000</v>
      </c>
      <c r="H183" s="14" t="s">
        <v>49</v>
      </c>
    </row>
    <row r="184" customFormat="false" ht="15" hidden="false" customHeight="true" outlineLevel="0" collapsed="false">
      <c r="A184" s="14" t="n">
        <v>1182</v>
      </c>
      <c r="B184" s="14" t="s">
        <v>180</v>
      </c>
      <c r="C184" s="14" t="s">
        <v>37</v>
      </c>
      <c r="D184" s="14" t="s">
        <v>21</v>
      </c>
      <c r="E184" s="14" t="s">
        <v>22</v>
      </c>
      <c r="F184" s="15" t="n">
        <v>45723</v>
      </c>
      <c r="G184" s="16" t="n">
        <v>46000</v>
      </c>
      <c r="H184" s="14" t="s">
        <v>23</v>
      </c>
    </row>
    <row r="185" customFormat="false" ht="15" hidden="false" customHeight="true" outlineLevel="0" collapsed="false">
      <c r="A185" s="14" t="n">
        <v>1183</v>
      </c>
      <c r="B185" s="14" t="s">
        <v>181</v>
      </c>
      <c r="C185" s="14" t="s">
        <v>37</v>
      </c>
      <c r="D185" s="14" t="s">
        <v>21</v>
      </c>
      <c r="E185" s="14" t="s">
        <v>33</v>
      </c>
      <c r="F185" s="15" t="n">
        <v>45632</v>
      </c>
      <c r="G185" s="16" t="n">
        <v>-247000</v>
      </c>
      <c r="H185" s="14" t="s">
        <v>23</v>
      </c>
    </row>
    <row r="186" customFormat="false" ht="15" hidden="false" customHeight="true" outlineLevel="0" collapsed="false">
      <c r="A186" s="14" t="n">
        <v>1184</v>
      </c>
      <c r="B186" s="14" t="s">
        <v>182</v>
      </c>
      <c r="C186" s="14" t="s">
        <v>25</v>
      </c>
      <c r="D186" s="14" t="s">
        <v>21</v>
      </c>
      <c r="E186" s="14" t="s">
        <v>31</v>
      </c>
      <c r="F186" s="15" t="n">
        <v>43423</v>
      </c>
      <c r="G186" s="16" t="n">
        <v>34000</v>
      </c>
      <c r="H186" s="14" t="s">
        <v>23</v>
      </c>
    </row>
    <row r="187" customFormat="false" ht="15" hidden="false" customHeight="true" outlineLevel="0" collapsed="false">
      <c r="A187" s="14" t="n">
        <v>1185</v>
      </c>
      <c r="B187" s="14" t="s">
        <v>183</v>
      </c>
      <c r="C187" s="14" t="s">
        <v>35</v>
      </c>
      <c r="D187" s="14" t="s">
        <v>21</v>
      </c>
      <c r="E187" s="14" t="s">
        <v>31</v>
      </c>
      <c r="F187" s="15" t="n">
        <v>45694</v>
      </c>
      <c r="G187" s="16" t="n">
        <v>33000</v>
      </c>
      <c r="H187" s="14" t="s">
        <v>23</v>
      </c>
    </row>
    <row r="188" customFormat="false" ht="15" hidden="false" customHeight="true" outlineLevel="0" collapsed="false">
      <c r="A188" s="14" t="n">
        <v>1186</v>
      </c>
      <c r="B188" s="14" t="s">
        <v>184</v>
      </c>
      <c r="C188" s="14" t="s">
        <v>25</v>
      </c>
      <c r="D188" s="14" t="s">
        <v>52</v>
      </c>
      <c r="E188" s="14" t="s">
        <v>31</v>
      </c>
      <c r="F188" s="15" t="n">
        <v>43705</v>
      </c>
      <c r="G188" s="16" t="n">
        <v>690000</v>
      </c>
      <c r="H188" s="14" t="s">
        <v>23</v>
      </c>
    </row>
    <row r="189" customFormat="false" ht="15" hidden="false" customHeight="true" outlineLevel="0" collapsed="false">
      <c r="A189" s="14" t="n">
        <v>1187</v>
      </c>
      <c r="B189" s="14" t="s">
        <v>185</v>
      </c>
      <c r="C189" s="14" t="s">
        <v>20</v>
      </c>
      <c r="D189" s="14" t="s">
        <v>21</v>
      </c>
      <c r="E189" s="14" t="s">
        <v>31</v>
      </c>
      <c r="F189" s="15" t="n">
        <v>45785</v>
      </c>
      <c r="G189" s="16" t="n">
        <v>49000</v>
      </c>
      <c r="H189" s="14" t="s">
        <v>49</v>
      </c>
    </row>
    <row r="190" customFormat="false" ht="15" hidden="false" customHeight="true" outlineLevel="0" collapsed="false">
      <c r="A190" s="14" t="n">
        <v>1188</v>
      </c>
      <c r="B190" s="14" t="s">
        <v>113</v>
      </c>
      <c r="C190" s="14" t="s">
        <v>20</v>
      </c>
      <c r="D190" s="14" t="s">
        <v>30</v>
      </c>
      <c r="E190" s="14" t="s">
        <v>22</v>
      </c>
      <c r="F190" s="15" t="n">
        <v>44939</v>
      </c>
      <c r="G190" s="16" t="n">
        <v>156000</v>
      </c>
      <c r="H190" s="14" t="s">
        <v>23</v>
      </c>
    </row>
    <row r="191" customFormat="false" ht="15" hidden="false" customHeight="true" outlineLevel="0" collapsed="false">
      <c r="A191" s="14" t="n">
        <v>1189</v>
      </c>
      <c r="B191" s="14" t="s">
        <v>186</v>
      </c>
      <c r="C191" s="14" t="s">
        <v>35</v>
      </c>
      <c r="D191" s="14" t="s">
        <v>21</v>
      </c>
      <c r="E191" s="14" t="s">
        <v>31</v>
      </c>
      <c r="F191" s="15" t="n">
        <v>44912</v>
      </c>
      <c r="G191" s="16" t="n">
        <v>31000</v>
      </c>
      <c r="H191" s="14" t="s">
        <v>23</v>
      </c>
    </row>
    <row r="192" customFormat="false" ht="15" hidden="false" customHeight="true" outlineLevel="0" collapsed="false">
      <c r="A192" s="14" t="n">
        <v>1190</v>
      </c>
      <c r="B192" s="14" t="s">
        <v>187</v>
      </c>
      <c r="C192" s="14" t="s">
        <v>37</v>
      </c>
      <c r="D192" s="14" t="s">
        <v>21</v>
      </c>
      <c r="E192" s="14" t="s">
        <v>22</v>
      </c>
      <c r="F192" s="15" t="n">
        <v>43255</v>
      </c>
      <c r="G192" s="16" t="n">
        <v>29000</v>
      </c>
      <c r="H192" s="14" t="s">
        <v>23</v>
      </c>
    </row>
    <row r="193" customFormat="false" ht="15" hidden="false" customHeight="true" outlineLevel="0" collapsed="false">
      <c r="A193" s="14" t="n">
        <v>1191</v>
      </c>
      <c r="B193" s="14" t="s">
        <v>96</v>
      </c>
      <c r="C193" s="14" t="s">
        <v>28</v>
      </c>
      <c r="D193" s="14" t="s">
        <v>52</v>
      </c>
      <c r="E193" s="14" t="s">
        <v>22</v>
      </c>
      <c r="F193" s="15" t="n">
        <v>45620</v>
      </c>
      <c r="G193" s="16" t="n">
        <v>122000</v>
      </c>
      <c r="H193" s="14" t="s">
        <v>23</v>
      </c>
    </row>
    <row r="194" customFormat="false" ht="15" hidden="false" customHeight="true" outlineLevel="0" collapsed="false">
      <c r="A194" s="14" t="n">
        <v>1192</v>
      </c>
      <c r="B194" s="14" t="s">
        <v>36</v>
      </c>
      <c r="C194" s="14" t="s">
        <v>43</v>
      </c>
      <c r="D194" s="14" t="s">
        <v>30</v>
      </c>
      <c r="E194" s="14" t="s">
        <v>22</v>
      </c>
      <c r="F194" s="15" t="n">
        <v>44943</v>
      </c>
      <c r="G194" s="16" t="n">
        <v>18000</v>
      </c>
      <c r="H194" s="14" t="s">
        <v>23</v>
      </c>
    </row>
    <row r="195" customFormat="false" ht="15" hidden="false" customHeight="true" outlineLevel="0" collapsed="false">
      <c r="A195" s="14" t="n">
        <v>1193</v>
      </c>
      <c r="B195" s="14" t="s">
        <v>188</v>
      </c>
      <c r="C195" s="14" t="s">
        <v>25</v>
      </c>
      <c r="D195" s="14" t="s">
        <v>52</v>
      </c>
      <c r="E195" s="14" t="s">
        <v>22</v>
      </c>
      <c r="F195" s="15" t="n">
        <v>43524</v>
      </c>
      <c r="G195" s="16" t="n">
        <v>491000</v>
      </c>
      <c r="H195" s="14" t="s">
        <v>23</v>
      </c>
    </row>
    <row r="196" customFormat="false" ht="15" hidden="false" customHeight="true" outlineLevel="0" collapsed="false">
      <c r="A196" s="14" t="n">
        <v>1194</v>
      </c>
      <c r="B196" s="14" t="s">
        <v>189</v>
      </c>
      <c r="C196" s="14" t="s">
        <v>35</v>
      </c>
      <c r="D196" s="14" t="s">
        <v>30</v>
      </c>
      <c r="E196" s="14" t="s">
        <v>31</v>
      </c>
      <c r="F196" s="15" t="n">
        <v>45247</v>
      </c>
      <c r="G196" s="16" t="n">
        <v>120000</v>
      </c>
      <c r="H196" s="14" t="s">
        <v>23</v>
      </c>
    </row>
    <row r="197" customFormat="false" ht="15" hidden="false" customHeight="true" outlineLevel="0" collapsed="false">
      <c r="A197" s="14" t="n">
        <v>1195</v>
      </c>
      <c r="B197" s="14" t="s">
        <v>165</v>
      </c>
      <c r="C197" s="14" t="s">
        <v>20</v>
      </c>
      <c r="D197" s="14" t="s">
        <v>21</v>
      </c>
      <c r="E197" s="14" t="s">
        <v>33</v>
      </c>
      <c r="F197" s="15" t="n">
        <v>44486</v>
      </c>
      <c r="G197" s="16" t="n">
        <v>-203000</v>
      </c>
      <c r="H197" s="14" t="s">
        <v>23</v>
      </c>
    </row>
    <row r="198" customFormat="false" ht="15" hidden="false" customHeight="true" outlineLevel="0" collapsed="false">
      <c r="A198" s="14" t="n">
        <v>1196</v>
      </c>
      <c r="B198" s="14" t="s">
        <v>182</v>
      </c>
      <c r="C198" s="14" t="s">
        <v>20</v>
      </c>
      <c r="D198" s="14" t="s">
        <v>21</v>
      </c>
      <c r="E198" s="14" t="s">
        <v>31</v>
      </c>
      <c r="F198" s="15" t="n">
        <v>45879</v>
      </c>
      <c r="G198" s="16" t="n">
        <v>36000</v>
      </c>
      <c r="H198" s="14" t="s">
        <v>23</v>
      </c>
    </row>
    <row r="199" customFormat="false" ht="15" hidden="false" customHeight="true" outlineLevel="0" collapsed="false">
      <c r="A199" s="14" t="n">
        <v>1197</v>
      </c>
      <c r="B199" s="14" t="s">
        <v>190</v>
      </c>
      <c r="C199" s="14" t="s">
        <v>35</v>
      </c>
      <c r="D199" s="14" t="s">
        <v>30</v>
      </c>
      <c r="E199" s="14" t="s">
        <v>33</v>
      </c>
      <c r="F199" s="15" t="n">
        <v>44466</v>
      </c>
      <c r="G199" s="16" t="n">
        <v>-43000</v>
      </c>
      <c r="H199" s="14" t="s">
        <v>23</v>
      </c>
    </row>
    <row r="200" customFormat="false" ht="15" hidden="false" customHeight="true" outlineLevel="0" collapsed="false">
      <c r="A200" s="14" t="n">
        <v>1198</v>
      </c>
      <c r="B200" s="14" t="s">
        <v>191</v>
      </c>
      <c r="C200" s="14" t="s">
        <v>37</v>
      </c>
      <c r="D200" s="14" t="s">
        <v>30</v>
      </c>
      <c r="E200" s="14" t="s">
        <v>31</v>
      </c>
      <c r="F200" s="15" t="n">
        <v>44706</v>
      </c>
      <c r="G200" s="16" t="n">
        <v>177000</v>
      </c>
      <c r="H200" s="14" t="s">
        <v>23</v>
      </c>
    </row>
    <row r="201" customFormat="false" ht="15" hidden="false" customHeight="true" outlineLevel="0" collapsed="false">
      <c r="A201" s="14" t="n">
        <v>1199</v>
      </c>
      <c r="B201" s="14" t="s">
        <v>192</v>
      </c>
      <c r="C201" s="14" t="s">
        <v>20</v>
      </c>
      <c r="D201" s="14" t="s">
        <v>21</v>
      </c>
      <c r="E201" s="14" t="s">
        <v>31</v>
      </c>
      <c r="F201" s="15" t="n">
        <v>44446</v>
      </c>
      <c r="G201" s="16" t="n">
        <v>51000</v>
      </c>
      <c r="H201" s="14" t="s">
        <v>23</v>
      </c>
    </row>
    <row r="202" customFormat="false" ht="15" hidden="false" customHeight="true" outlineLevel="0" collapsed="false">
      <c r="A202" s="14" t="n">
        <v>1200</v>
      </c>
      <c r="B202" s="14" t="s">
        <v>193</v>
      </c>
      <c r="C202" s="14" t="s">
        <v>43</v>
      </c>
      <c r="D202" s="14" t="s">
        <v>21</v>
      </c>
      <c r="E202" s="14" t="s">
        <v>22</v>
      </c>
      <c r="F202" s="15" t="n">
        <v>44366</v>
      </c>
      <c r="G202" s="16" t="n">
        <v>24000</v>
      </c>
      <c r="H202" s="14" t="s">
        <v>23</v>
      </c>
    </row>
    <row r="203" customFormat="false" ht="15" hidden="false" customHeight="true" outlineLevel="0" collapsed="false">
      <c r="A203" s="14" t="n">
        <v>1201</v>
      </c>
      <c r="B203" s="14" t="s">
        <v>194</v>
      </c>
      <c r="C203" s="14" t="s">
        <v>28</v>
      </c>
      <c r="D203" s="14" t="s">
        <v>52</v>
      </c>
      <c r="E203" s="14" t="s">
        <v>31</v>
      </c>
      <c r="F203" s="15" t="n">
        <v>43417</v>
      </c>
      <c r="G203" s="16" t="n">
        <v>188000</v>
      </c>
      <c r="H203" s="14" t="s">
        <v>23</v>
      </c>
    </row>
    <row r="204" customFormat="false" ht="15" hidden="false" customHeight="true" outlineLevel="0" collapsed="false">
      <c r="A204" s="14" t="n">
        <v>1202</v>
      </c>
      <c r="B204" s="14" t="s">
        <v>142</v>
      </c>
      <c r="C204" s="14" t="s">
        <v>43</v>
      </c>
      <c r="D204" s="14" t="s">
        <v>52</v>
      </c>
      <c r="E204" s="14" t="s">
        <v>26</v>
      </c>
      <c r="F204" s="15" t="n">
        <v>45812</v>
      </c>
      <c r="G204" s="16" t="n">
        <v>39000</v>
      </c>
      <c r="H204" s="14" t="s">
        <v>23</v>
      </c>
    </row>
    <row r="205" customFormat="false" ht="15" hidden="false" customHeight="true" outlineLevel="0" collapsed="false">
      <c r="A205" s="14" t="n">
        <v>1203</v>
      </c>
      <c r="B205" s="14" t="s">
        <v>77</v>
      </c>
      <c r="C205" s="14" t="s">
        <v>35</v>
      </c>
      <c r="D205" s="14" t="s">
        <v>21</v>
      </c>
      <c r="E205" s="14" t="s">
        <v>31</v>
      </c>
      <c r="F205" s="15" t="n">
        <v>45659</v>
      </c>
      <c r="G205" s="16" t="n">
        <v>45000</v>
      </c>
      <c r="H205" s="14" t="s">
        <v>23</v>
      </c>
    </row>
    <row r="206" customFormat="false" ht="15" hidden="false" customHeight="true" outlineLevel="0" collapsed="false">
      <c r="A206" s="14" t="n">
        <v>1204</v>
      </c>
      <c r="B206" s="14" t="s">
        <v>124</v>
      </c>
      <c r="C206" s="14" t="s">
        <v>25</v>
      </c>
      <c r="D206" s="14" t="s">
        <v>21</v>
      </c>
      <c r="E206" s="14" t="s">
        <v>22</v>
      </c>
      <c r="F206" s="15" t="n">
        <v>45601</v>
      </c>
      <c r="G206" s="16" t="n">
        <v>29000</v>
      </c>
      <c r="H206" s="14" t="s">
        <v>23</v>
      </c>
    </row>
    <row r="207" customFormat="false" ht="15" hidden="false" customHeight="true" outlineLevel="0" collapsed="false">
      <c r="A207" s="14" t="n">
        <v>1205</v>
      </c>
      <c r="B207" s="14" t="s">
        <v>195</v>
      </c>
      <c r="C207" s="14" t="s">
        <v>43</v>
      </c>
      <c r="D207" s="14" t="s">
        <v>30</v>
      </c>
      <c r="E207" s="14" t="s">
        <v>31</v>
      </c>
      <c r="F207" s="15" t="n">
        <v>43895</v>
      </c>
      <c r="G207" s="16" t="n">
        <v>128000</v>
      </c>
      <c r="H207" s="14" t="s">
        <v>49</v>
      </c>
    </row>
    <row r="208" customFormat="false" ht="15" hidden="false" customHeight="true" outlineLevel="0" collapsed="false">
      <c r="A208" s="14" t="n">
        <v>1206</v>
      </c>
      <c r="B208" s="14" t="s">
        <v>196</v>
      </c>
      <c r="C208" s="14" t="s">
        <v>28</v>
      </c>
      <c r="D208" s="14" t="s">
        <v>30</v>
      </c>
      <c r="E208" s="14" t="s">
        <v>26</v>
      </c>
      <c r="F208" s="15" t="n">
        <v>45261</v>
      </c>
      <c r="G208" s="16" t="n">
        <v>277000</v>
      </c>
      <c r="H208" s="14" t="s">
        <v>23</v>
      </c>
    </row>
    <row r="209" customFormat="false" ht="15" hidden="false" customHeight="true" outlineLevel="0" collapsed="false">
      <c r="A209" s="14" t="n">
        <v>1207</v>
      </c>
      <c r="B209" s="14" t="s">
        <v>197</v>
      </c>
      <c r="C209" s="14" t="s">
        <v>20</v>
      </c>
      <c r="D209" s="14" t="s">
        <v>21</v>
      </c>
      <c r="E209" s="14" t="s">
        <v>31</v>
      </c>
      <c r="F209" s="15" t="n">
        <v>45069</v>
      </c>
      <c r="G209" s="16" t="n">
        <v>42000</v>
      </c>
      <c r="H209" s="14" t="s">
        <v>49</v>
      </c>
    </row>
    <row r="210" customFormat="false" ht="15" hidden="false" customHeight="true" outlineLevel="0" collapsed="false">
      <c r="A210" s="14" t="n">
        <v>1208</v>
      </c>
      <c r="B210" s="14" t="s">
        <v>198</v>
      </c>
      <c r="C210" s="14" t="s">
        <v>28</v>
      </c>
      <c r="D210" s="14" t="s">
        <v>30</v>
      </c>
      <c r="E210" s="14" t="s">
        <v>26</v>
      </c>
      <c r="F210" s="15" t="n">
        <v>43444</v>
      </c>
      <c r="G210" s="16" t="n">
        <v>165000</v>
      </c>
      <c r="H210" s="14" t="s">
        <v>23</v>
      </c>
    </row>
    <row r="211" customFormat="false" ht="15" hidden="false" customHeight="true" outlineLevel="0" collapsed="false">
      <c r="A211" s="14" t="n">
        <v>1209</v>
      </c>
      <c r="B211" s="14" t="s">
        <v>181</v>
      </c>
      <c r="C211" s="14" t="s">
        <v>43</v>
      </c>
      <c r="D211" s="14" t="s">
        <v>21</v>
      </c>
      <c r="E211" s="14" t="s">
        <v>31</v>
      </c>
      <c r="F211" s="15" t="n">
        <v>44010</v>
      </c>
      <c r="G211" s="16" t="n">
        <v>59000</v>
      </c>
      <c r="H211" s="14" t="s">
        <v>49</v>
      </c>
    </row>
    <row r="212" customFormat="false" ht="15" hidden="false" customHeight="true" outlineLevel="0" collapsed="false">
      <c r="A212" s="14" t="n">
        <v>1210</v>
      </c>
      <c r="B212" s="14" t="s">
        <v>199</v>
      </c>
      <c r="C212" s="14" t="s">
        <v>35</v>
      </c>
      <c r="D212" s="14" t="s">
        <v>21</v>
      </c>
      <c r="E212" s="14" t="s">
        <v>31</v>
      </c>
      <c r="F212" s="15" t="n">
        <v>44682</v>
      </c>
      <c r="G212" s="16" t="n">
        <v>16000</v>
      </c>
      <c r="H212" s="14" t="s">
        <v>23</v>
      </c>
    </row>
    <row r="213" customFormat="false" ht="15" hidden="false" customHeight="true" outlineLevel="0" collapsed="false">
      <c r="A213" s="14" t="n">
        <v>1211</v>
      </c>
      <c r="B213" s="14" t="s">
        <v>200</v>
      </c>
      <c r="C213" s="14" t="s">
        <v>43</v>
      </c>
      <c r="D213" s="14" t="s">
        <v>30</v>
      </c>
      <c r="E213" s="14" t="s">
        <v>33</v>
      </c>
      <c r="F213" s="15" t="n">
        <v>44474</v>
      </c>
      <c r="G213" s="16" t="n">
        <v>-171000</v>
      </c>
      <c r="H213" s="14" t="s">
        <v>23</v>
      </c>
    </row>
    <row r="214" customFormat="false" ht="15" hidden="false" customHeight="true" outlineLevel="0" collapsed="false">
      <c r="A214" s="14" t="n">
        <v>1212</v>
      </c>
      <c r="B214" s="14" t="s">
        <v>71</v>
      </c>
      <c r="C214" s="14" t="s">
        <v>37</v>
      </c>
      <c r="D214" s="14" t="s">
        <v>21</v>
      </c>
      <c r="E214" s="14" t="s">
        <v>22</v>
      </c>
      <c r="F214" s="15" t="n">
        <v>45022</v>
      </c>
      <c r="G214" s="16" t="n">
        <v>46000</v>
      </c>
      <c r="H214" s="14" t="s">
        <v>23</v>
      </c>
    </row>
    <row r="215" customFormat="false" ht="15" hidden="false" customHeight="true" outlineLevel="0" collapsed="false">
      <c r="A215" s="14" t="n">
        <v>1213</v>
      </c>
      <c r="B215" s="14" t="s">
        <v>96</v>
      </c>
      <c r="C215" s="14" t="s">
        <v>35</v>
      </c>
      <c r="D215" s="14" t="s">
        <v>21</v>
      </c>
      <c r="E215" s="14" t="s">
        <v>31</v>
      </c>
      <c r="F215" s="15" t="n">
        <v>45348</v>
      </c>
      <c r="G215" s="16" t="n">
        <v>10000</v>
      </c>
      <c r="H215" s="14" t="s">
        <v>23</v>
      </c>
    </row>
    <row r="216" customFormat="false" ht="15" hidden="false" customHeight="true" outlineLevel="0" collapsed="false">
      <c r="A216" s="14" t="n">
        <v>1214</v>
      </c>
      <c r="B216" s="14" t="s">
        <v>201</v>
      </c>
      <c r="C216" s="14" t="s">
        <v>43</v>
      </c>
      <c r="D216" s="14" t="s">
        <v>21</v>
      </c>
      <c r="E216" s="14" t="s">
        <v>31</v>
      </c>
      <c r="F216" s="15" t="n">
        <v>44820</v>
      </c>
      <c r="G216" s="16" t="n">
        <v>16000</v>
      </c>
      <c r="H216" s="14" t="s">
        <v>23</v>
      </c>
    </row>
    <row r="217" customFormat="false" ht="15" hidden="false" customHeight="true" outlineLevel="0" collapsed="false">
      <c r="A217" s="14" t="n">
        <v>1215</v>
      </c>
      <c r="B217" s="14" t="s">
        <v>19</v>
      </c>
      <c r="C217" s="14" t="s">
        <v>37</v>
      </c>
      <c r="D217" s="14" t="s">
        <v>21</v>
      </c>
      <c r="E217" s="14" t="s">
        <v>22</v>
      </c>
      <c r="F217" s="15" t="n">
        <v>45456</v>
      </c>
      <c r="G217" s="16" t="n">
        <v>33000</v>
      </c>
      <c r="H217" s="14" t="s">
        <v>23</v>
      </c>
    </row>
    <row r="218" customFormat="false" ht="15" hidden="false" customHeight="true" outlineLevel="0" collapsed="false">
      <c r="A218" s="14" t="n">
        <v>1216</v>
      </c>
      <c r="B218" s="14" t="s">
        <v>202</v>
      </c>
      <c r="C218" s="14" t="s">
        <v>37</v>
      </c>
      <c r="D218" s="14" t="s">
        <v>21</v>
      </c>
      <c r="E218" s="14" t="s">
        <v>22</v>
      </c>
      <c r="F218" s="15" t="n">
        <v>43868</v>
      </c>
      <c r="G218" s="16" t="n">
        <v>27000</v>
      </c>
      <c r="H218" s="14" t="s">
        <v>49</v>
      </c>
    </row>
    <row r="219" customFormat="false" ht="15" hidden="false" customHeight="true" outlineLevel="0" collapsed="false">
      <c r="A219" s="14" t="n">
        <v>1217</v>
      </c>
      <c r="B219" s="14" t="s">
        <v>114</v>
      </c>
      <c r="C219" s="14" t="s">
        <v>43</v>
      </c>
      <c r="D219" s="14" t="s">
        <v>21</v>
      </c>
      <c r="E219" s="14" t="s">
        <v>33</v>
      </c>
      <c r="F219" s="15" t="n">
        <v>45180</v>
      </c>
      <c r="G219" s="16" t="n">
        <v>-206000</v>
      </c>
      <c r="H219" s="14" t="s">
        <v>23</v>
      </c>
    </row>
    <row r="220" customFormat="false" ht="15" hidden="false" customHeight="true" outlineLevel="0" collapsed="false">
      <c r="A220" s="14" t="n">
        <v>1218</v>
      </c>
      <c r="B220" s="14" t="s">
        <v>203</v>
      </c>
      <c r="C220" s="14" t="s">
        <v>35</v>
      </c>
      <c r="D220" s="14" t="s">
        <v>21</v>
      </c>
      <c r="E220" s="14" t="s">
        <v>31</v>
      </c>
      <c r="F220" s="15" t="n">
        <v>44139</v>
      </c>
      <c r="G220" s="16" t="n">
        <v>24000</v>
      </c>
      <c r="H220" s="14" t="s">
        <v>23</v>
      </c>
    </row>
    <row r="221" customFormat="false" ht="15" hidden="false" customHeight="true" outlineLevel="0" collapsed="false">
      <c r="A221" s="14" t="n">
        <v>1219</v>
      </c>
      <c r="B221" s="14" t="s">
        <v>163</v>
      </c>
      <c r="C221" s="14" t="s">
        <v>28</v>
      </c>
      <c r="D221" s="14" t="s">
        <v>30</v>
      </c>
      <c r="E221" s="14" t="s">
        <v>31</v>
      </c>
      <c r="F221" s="15" t="n">
        <v>45484</v>
      </c>
      <c r="G221" s="16" t="n">
        <v>34000</v>
      </c>
      <c r="H221" s="14" t="s">
        <v>23</v>
      </c>
    </row>
    <row r="222" customFormat="false" ht="15" hidden="false" customHeight="true" outlineLevel="0" collapsed="false">
      <c r="A222" s="14" t="n">
        <v>1220</v>
      </c>
      <c r="B222" s="14" t="s">
        <v>204</v>
      </c>
      <c r="C222" s="14" t="s">
        <v>37</v>
      </c>
      <c r="D222" s="14" t="s">
        <v>30</v>
      </c>
      <c r="E222" s="14" t="s">
        <v>31</v>
      </c>
      <c r="F222" s="15" t="n">
        <v>45004</v>
      </c>
      <c r="G222" s="16" t="n">
        <v>183000</v>
      </c>
      <c r="H222" s="14" t="s">
        <v>23</v>
      </c>
    </row>
    <row r="223" customFormat="false" ht="15" hidden="false" customHeight="true" outlineLevel="0" collapsed="false">
      <c r="A223" s="14" t="n">
        <v>1221</v>
      </c>
      <c r="B223" s="14" t="s">
        <v>205</v>
      </c>
      <c r="C223" s="14" t="s">
        <v>37</v>
      </c>
      <c r="D223" s="14" t="s">
        <v>52</v>
      </c>
      <c r="E223" s="14" t="s">
        <v>26</v>
      </c>
      <c r="F223" s="15" t="n">
        <v>44302</v>
      </c>
      <c r="G223" s="16" t="n">
        <v>38000</v>
      </c>
      <c r="H223" s="14" t="s">
        <v>23</v>
      </c>
    </row>
    <row r="224" customFormat="false" ht="15" hidden="false" customHeight="true" outlineLevel="0" collapsed="false">
      <c r="A224" s="14" t="n">
        <v>1222</v>
      </c>
      <c r="B224" s="14" t="s">
        <v>206</v>
      </c>
      <c r="C224" s="14" t="s">
        <v>20</v>
      </c>
      <c r="D224" s="14" t="s">
        <v>21</v>
      </c>
      <c r="E224" s="14" t="s">
        <v>31</v>
      </c>
      <c r="F224" s="15" t="n">
        <v>45325</v>
      </c>
      <c r="G224" s="16" t="n">
        <v>26000</v>
      </c>
      <c r="H224" s="14" t="s">
        <v>23</v>
      </c>
    </row>
    <row r="225" customFormat="false" ht="15" hidden="false" customHeight="true" outlineLevel="0" collapsed="false">
      <c r="A225" s="14" t="n">
        <v>1223</v>
      </c>
      <c r="B225" s="14" t="s">
        <v>131</v>
      </c>
      <c r="C225" s="14" t="s">
        <v>35</v>
      </c>
      <c r="D225" s="14" t="s">
        <v>21</v>
      </c>
      <c r="E225" s="14" t="s">
        <v>31</v>
      </c>
      <c r="F225" s="15" t="n">
        <v>43296</v>
      </c>
      <c r="G225" s="16" t="n">
        <v>50000</v>
      </c>
      <c r="H225" s="14" t="s">
        <v>23</v>
      </c>
    </row>
    <row r="226" customFormat="false" ht="15" hidden="false" customHeight="true" outlineLevel="0" collapsed="false">
      <c r="A226" s="14" t="n">
        <v>1224</v>
      </c>
      <c r="B226" s="14" t="s">
        <v>207</v>
      </c>
      <c r="C226" s="14" t="s">
        <v>43</v>
      </c>
      <c r="D226" s="14" t="s">
        <v>21</v>
      </c>
      <c r="E226" s="14" t="s">
        <v>22</v>
      </c>
      <c r="F226" s="15" t="n">
        <v>44684</v>
      </c>
      <c r="G226" s="16" t="n">
        <v>29000</v>
      </c>
      <c r="H226" s="14" t="s">
        <v>23</v>
      </c>
    </row>
    <row r="227" customFormat="false" ht="15" hidden="false" customHeight="true" outlineLevel="0" collapsed="false">
      <c r="A227" s="14" t="n">
        <v>1225</v>
      </c>
      <c r="B227" s="14" t="s">
        <v>208</v>
      </c>
      <c r="C227" s="14" t="s">
        <v>25</v>
      </c>
      <c r="D227" s="14" t="s">
        <v>30</v>
      </c>
      <c r="E227" s="14" t="s">
        <v>31</v>
      </c>
      <c r="F227" s="15" t="n">
        <v>43439</v>
      </c>
      <c r="G227" s="16" t="n">
        <v>76000</v>
      </c>
      <c r="H227" s="14" t="s">
        <v>23</v>
      </c>
    </row>
    <row r="228" customFormat="false" ht="15" hidden="false" customHeight="true" outlineLevel="0" collapsed="false">
      <c r="A228" s="14" t="n">
        <v>1226</v>
      </c>
      <c r="B228" s="14" t="s">
        <v>136</v>
      </c>
      <c r="C228" s="14" t="s">
        <v>20</v>
      </c>
      <c r="D228" s="14" t="s">
        <v>21</v>
      </c>
      <c r="E228" s="14" t="s">
        <v>22</v>
      </c>
      <c r="F228" s="15" t="n">
        <v>44444</v>
      </c>
      <c r="G228" s="16" t="n">
        <v>6000</v>
      </c>
      <c r="H228" s="14" t="s">
        <v>23</v>
      </c>
    </row>
    <row r="229" customFormat="false" ht="15" hidden="false" customHeight="true" outlineLevel="0" collapsed="false">
      <c r="A229" s="14" t="n">
        <v>1227</v>
      </c>
      <c r="B229" s="14" t="s">
        <v>187</v>
      </c>
      <c r="C229" s="14" t="s">
        <v>43</v>
      </c>
      <c r="D229" s="14" t="s">
        <v>30</v>
      </c>
      <c r="E229" s="14" t="s">
        <v>22</v>
      </c>
      <c r="F229" s="15" t="n">
        <v>44932</v>
      </c>
      <c r="G229" s="16" t="n">
        <v>97000</v>
      </c>
      <c r="H229" s="14" t="s">
        <v>23</v>
      </c>
    </row>
    <row r="230" customFormat="false" ht="15" hidden="false" customHeight="true" outlineLevel="0" collapsed="false">
      <c r="A230" s="14" t="n">
        <v>1228</v>
      </c>
      <c r="B230" s="14" t="s">
        <v>209</v>
      </c>
      <c r="C230" s="14" t="s">
        <v>20</v>
      </c>
      <c r="D230" s="14" t="s">
        <v>52</v>
      </c>
      <c r="E230" s="14" t="s">
        <v>31</v>
      </c>
      <c r="F230" s="15" t="n">
        <v>43408</v>
      </c>
      <c r="G230" s="16" t="n">
        <v>88000</v>
      </c>
      <c r="H230" s="14" t="s">
        <v>23</v>
      </c>
    </row>
    <row r="231" customFormat="false" ht="15" hidden="false" customHeight="true" outlineLevel="0" collapsed="false">
      <c r="A231" s="14" t="n">
        <v>1229</v>
      </c>
      <c r="B231" s="14" t="s">
        <v>132</v>
      </c>
      <c r="C231" s="14" t="s">
        <v>25</v>
      </c>
      <c r="D231" s="14" t="s">
        <v>52</v>
      </c>
      <c r="E231" s="14" t="s">
        <v>22</v>
      </c>
      <c r="F231" s="15" t="n">
        <v>45589</v>
      </c>
      <c r="G231" s="16" t="n">
        <v>176000</v>
      </c>
      <c r="H231" s="14" t="s">
        <v>23</v>
      </c>
    </row>
    <row r="232" customFormat="false" ht="15" hidden="false" customHeight="true" outlineLevel="0" collapsed="false">
      <c r="A232" s="14" t="n">
        <v>1230</v>
      </c>
      <c r="B232" s="14" t="s">
        <v>210</v>
      </c>
      <c r="C232" s="14" t="s">
        <v>43</v>
      </c>
      <c r="D232" s="14" t="s">
        <v>21</v>
      </c>
      <c r="E232" s="14" t="s">
        <v>26</v>
      </c>
      <c r="F232" s="15" t="n">
        <v>45424</v>
      </c>
      <c r="G232" s="16" t="n">
        <v>216000</v>
      </c>
      <c r="H232" s="14" t="s">
        <v>23</v>
      </c>
    </row>
    <row r="233" customFormat="false" ht="15" hidden="false" customHeight="true" outlineLevel="0" collapsed="false">
      <c r="A233" s="14" t="n">
        <v>1231</v>
      </c>
      <c r="B233" s="14" t="s">
        <v>211</v>
      </c>
      <c r="C233" s="14" t="s">
        <v>43</v>
      </c>
      <c r="D233" s="14" t="s">
        <v>21</v>
      </c>
      <c r="E233" s="14" t="s">
        <v>33</v>
      </c>
      <c r="F233" s="15" t="n">
        <v>43415</v>
      </c>
      <c r="G233" s="16" t="n">
        <v>-200000</v>
      </c>
      <c r="H233" s="14" t="s">
        <v>23</v>
      </c>
    </row>
    <row r="234" customFormat="false" ht="15" hidden="false" customHeight="true" outlineLevel="0" collapsed="false">
      <c r="A234" s="14" t="n">
        <v>1232</v>
      </c>
      <c r="B234" s="14" t="s">
        <v>212</v>
      </c>
      <c r="C234" s="14" t="s">
        <v>28</v>
      </c>
      <c r="D234" s="14" t="s">
        <v>21</v>
      </c>
      <c r="E234" s="14" t="s">
        <v>31</v>
      </c>
      <c r="F234" s="15" t="n">
        <v>43207</v>
      </c>
      <c r="G234" s="16" t="n">
        <v>8000</v>
      </c>
      <c r="H234" s="14" t="s">
        <v>23</v>
      </c>
    </row>
    <row r="235" customFormat="false" ht="15" hidden="false" customHeight="true" outlineLevel="0" collapsed="false">
      <c r="A235" s="14" t="n">
        <v>1233</v>
      </c>
      <c r="B235" s="14" t="s">
        <v>162</v>
      </c>
      <c r="C235" s="14" t="s">
        <v>43</v>
      </c>
      <c r="D235" s="14" t="s">
        <v>30</v>
      </c>
      <c r="E235" s="14" t="s">
        <v>31</v>
      </c>
      <c r="F235" s="15" t="n">
        <v>44928</v>
      </c>
      <c r="G235" s="16" t="n">
        <v>188000</v>
      </c>
      <c r="H235" s="14" t="s">
        <v>23</v>
      </c>
    </row>
    <row r="236" customFormat="false" ht="15" hidden="false" customHeight="true" outlineLevel="0" collapsed="false">
      <c r="A236" s="14" t="n">
        <v>1234</v>
      </c>
      <c r="B236" s="14" t="s">
        <v>77</v>
      </c>
      <c r="C236" s="14" t="s">
        <v>20</v>
      </c>
      <c r="D236" s="14" t="s">
        <v>21</v>
      </c>
      <c r="E236" s="14" t="s">
        <v>31</v>
      </c>
      <c r="F236" s="15" t="n">
        <v>44952</v>
      </c>
      <c r="G236" s="16" t="n">
        <v>5000</v>
      </c>
      <c r="H236" s="14" t="s">
        <v>49</v>
      </c>
    </row>
    <row r="237" customFormat="false" ht="15" hidden="false" customHeight="true" outlineLevel="0" collapsed="false">
      <c r="A237" s="14" t="n">
        <v>1235</v>
      </c>
      <c r="B237" s="14" t="s">
        <v>213</v>
      </c>
      <c r="C237" s="14" t="s">
        <v>35</v>
      </c>
      <c r="D237" s="14" t="s">
        <v>52</v>
      </c>
      <c r="E237" s="14" t="s">
        <v>33</v>
      </c>
      <c r="F237" s="15" t="n">
        <v>44524</v>
      </c>
      <c r="G237" s="16" t="n">
        <v>-175000</v>
      </c>
      <c r="H237" s="14" t="s">
        <v>23</v>
      </c>
    </row>
    <row r="238" customFormat="false" ht="15" hidden="false" customHeight="true" outlineLevel="0" collapsed="false">
      <c r="A238" s="14" t="n">
        <v>1236</v>
      </c>
      <c r="B238" s="14" t="s">
        <v>214</v>
      </c>
      <c r="C238" s="14" t="s">
        <v>37</v>
      </c>
      <c r="D238" s="14" t="s">
        <v>30</v>
      </c>
      <c r="E238" s="14" t="s">
        <v>33</v>
      </c>
      <c r="F238" s="15" t="n">
        <v>45969</v>
      </c>
      <c r="G238" s="16" t="n">
        <v>-242000</v>
      </c>
      <c r="H238" s="14" t="s">
        <v>23</v>
      </c>
    </row>
    <row r="239" customFormat="false" ht="15" hidden="false" customHeight="true" outlineLevel="0" collapsed="false">
      <c r="A239" s="14" t="n">
        <v>1237</v>
      </c>
      <c r="B239" s="14" t="s">
        <v>203</v>
      </c>
      <c r="C239" s="14" t="s">
        <v>35</v>
      </c>
      <c r="D239" s="14" t="s">
        <v>30</v>
      </c>
      <c r="E239" s="14" t="s">
        <v>33</v>
      </c>
      <c r="F239" s="15" t="n">
        <v>45124</v>
      </c>
      <c r="G239" s="16" t="n">
        <v>-65000</v>
      </c>
      <c r="H239" s="14" t="s">
        <v>23</v>
      </c>
    </row>
    <row r="240" customFormat="false" ht="15" hidden="false" customHeight="true" outlineLevel="0" collapsed="false">
      <c r="A240" s="14" t="n">
        <v>1238</v>
      </c>
      <c r="B240" s="14" t="s">
        <v>215</v>
      </c>
      <c r="C240" s="14" t="s">
        <v>20</v>
      </c>
      <c r="D240" s="14" t="s">
        <v>52</v>
      </c>
      <c r="E240" s="14" t="s">
        <v>22</v>
      </c>
      <c r="F240" s="15" t="n">
        <v>45607</v>
      </c>
      <c r="G240" s="16" t="n">
        <v>162000</v>
      </c>
      <c r="H240" s="14" t="s">
        <v>23</v>
      </c>
    </row>
    <row r="241" customFormat="false" ht="15" hidden="false" customHeight="true" outlineLevel="0" collapsed="false">
      <c r="A241" s="14" t="n">
        <v>1239</v>
      </c>
      <c r="B241" s="14" t="s">
        <v>216</v>
      </c>
      <c r="C241" s="14" t="s">
        <v>35</v>
      </c>
      <c r="D241" s="14" t="s">
        <v>21</v>
      </c>
      <c r="E241" s="14" t="s">
        <v>26</v>
      </c>
      <c r="F241" s="15" t="n">
        <v>44778</v>
      </c>
      <c r="G241" s="16" t="n">
        <v>413000</v>
      </c>
      <c r="H241" s="14" t="s">
        <v>23</v>
      </c>
    </row>
    <row r="242" customFormat="false" ht="15" hidden="false" customHeight="true" outlineLevel="0" collapsed="false">
      <c r="A242" s="14" t="n">
        <v>1240</v>
      </c>
      <c r="B242" s="14" t="s">
        <v>217</v>
      </c>
      <c r="C242" s="14" t="s">
        <v>28</v>
      </c>
      <c r="D242" s="14" t="s">
        <v>21</v>
      </c>
      <c r="E242" s="14" t="s">
        <v>22</v>
      </c>
      <c r="F242" s="15" t="n">
        <v>45220</v>
      </c>
      <c r="G242" s="16" t="n">
        <v>44000</v>
      </c>
      <c r="H242" s="14" t="s">
        <v>23</v>
      </c>
    </row>
    <row r="243" customFormat="false" ht="15" hidden="false" customHeight="true" outlineLevel="0" collapsed="false">
      <c r="A243" s="14" t="n">
        <v>1241</v>
      </c>
      <c r="B243" s="14" t="s">
        <v>218</v>
      </c>
      <c r="C243" s="14" t="s">
        <v>28</v>
      </c>
      <c r="D243" s="14" t="s">
        <v>21</v>
      </c>
      <c r="E243" s="14" t="s">
        <v>22</v>
      </c>
      <c r="F243" s="15" t="n">
        <v>44873</v>
      </c>
      <c r="G243" s="16" t="n">
        <v>9000</v>
      </c>
      <c r="H243" s="14" t="s">
        <v>23</v>
      </c>
    </row>
    <row r="244" customFormat="false" ht="15" hidden="false" customHeight="true" outlineLevel="0" collapsed="false">
      <c r="A244" s="14" t="n">
        <v>1242</v>
      </c>
      <c r="B244" s="14" t="s">
        <v>219</v>
      </c>
      <c r="C244" s="14" t="s">
        <v>37</v>
      </c>
      <c r="D244" s="14" t="s">
        <v>21</v>
      </c>
      <c r="E244" s="14" t="s">
        <v>31</v>
      </c>
      <c r="F244" s="15" t="n">
        <v>44024</v>
      </c>
      <c r="G244" s="16" t="n">
        <v>21000</v>
      </c>
      <c r="H244" s="14" t="s">
        <v>49</v>
      </c>
    </row>
    <row r="245" customFormat="false" ht="15" hidden="false" customHeight="true" outlineLevel="0" collapsed="false">
      <c r="A245" s="14" t="n">
        <v>1243</v>
      </c>
      <c r="B245" s="14" t="s">
        <v>220</v>
      </c>
      <c r="C245" s="14" t="s">
        <v>37</v>
      </c>
      <c r="D245" s="14" t="s">
        <v>30</v>
      </c>
      <c r="E245" s="14" t="s">
        <v>31</v>
      </c>
      <c r="F245" s="15" t="n">
        <v>44225</v>
      </c>
      <c r="G245" s="16" t="n">
        <v>149000</v>
      </c>
      <c r="H245" s="14" t="s">
        <v>23</v>
      </c>
    </row>
    <row r="246" customFormat="false" ht="15" hidden="false" customHeight="true" outlineLevel="0" collapsed="false">
      <c r="A246" s="14" t="n">
        <v>1244</v>
      </c>
      <c r="B246" s="14" t="s">
        <v>107</v>
      </c>
      <c r="C246" s="14" t="s">
        <v>28</v>
      </c>
      <c r="D246" s="14" t="s">
        <v>21</v>
      </c>
      <c r="E246" s="14" t="s">
        <v>22</v>
      </c>
      <c r="F246" s="15" t="n">
        <v>43732</v>
      </c>
      <c r="G246" s="16" t="n">
        <v>38000</v>
      </c>
      <c r="H246" s="14" t="s">
        <v>23</v>
      </c>
    </row>
    <row r="247" customFormat="false" ht="15" hidden="false" customHeight="true" outlineLevel="0" collapsed="false">
      <c r="A247" s="14" t="n">
        <v>1245</v>
      </c>
      <c r="B247" s="14" t="s">
        <v>58</v>
      </c>
      <c r="C247" s="14" t="s">
        <v>28</v>
      </c>
      <c r="D247" s="14" t="s">
        <v>52</v>
      </c>
      <c r="E247" s="14" t="s">
        <v>31</v>
      </c>
      <c r="F247" s="15" t="n">
        <v>43217</v>
      </c>
      <c r="G247" s="16" t="n">
        <v>72000</v>
      </c>
      <c r="H247" s="14" t="s">
        <v>49</v>
      </c>
    </row>
    <row r="248" customFormat="false" ht="15" hidden="false" customHeight="true" outlineLevel="0" collapsed="false">
      <c r="A248" s="14" t="n">
        <v>1246</v>
      </c>
      <c r="B248" s="14" t="s">
        <v>221</v>
      </c>
      <c r="C248" s="14" t="s">
        <v>20</v>
      </c>
      <c r="D248" s="14" t="s">
        <v>21</v>
      </c>
      <c r="E248" s="14" t="s">
        <v>31</v>
      </c>
      <c r="F248" s="15" t="n">
        <v>44807</v>
      </c>
      <c r="G248" s="16" t="n">
        <v>37000</v>
      </c>
      <c r="H248" s="14" t="s">
        <v>23</v>
      </c>
    </row>
    <row r="249" customFormat="false" ht="15" hidden="false" customHeight="true" outlineLevel="0" collapsed="false">
      <c r="A249" s="14" t="n">
        <v>1247</v>
      </c>
      <c r="B249" s="14" t="s">
        <v>222</v>
      </c>
      <c r="C249" s="14" t="s">
        <v>37</v>
      </c>
      <c r="D249" s="14" t="s">
        <v>30</v>
      </c>
      <c r="E249" s="14" t="s">
        <v>22</v>
      </c>
      <c r="F249" s="15" t="n">
        <v>45079</v>
      </c>
      <c r="G249" s="16" t="n">
        <v>85000</v>
      </c>
      <c r="H249" s="14" t="s">
        <v>23</v>
      </c>
    </row>
    <row r="250" customFormat="false" ht="15" hidden="false" customHeight="true" outlineLevel="0" collapsed="false">
      <c r="A250" s="14" t="n">
        <v>1248</v>
      </c>
      <c r="B250" s="14" t="s">
        <v>223</v>
      </c>
      <c r="C250" s="14" t="s">
        <v>25</v>
      </c>
      <c r="D250" s="14" t="s">
        <v>21</v>
      </c>
      <c r="E250" s="14" t="s">
        <v>22</v>
      </c>
      <c r="F250" s="15" t="n">
        <v>45084</v>
      </c>
      <c r="G250" s="16" t="n">
        <v>27000</v>
      </c>
      <c r="H250" s="14" t="s">
        <v>23</v>
      </c>
    </row>
    <row r="251" customFormat="false" ht="15" hidden="false" customHeight="true" outlineLevel="0" collapsed="false">
      <c r="A251" s="14" t="n">
        <v>1249</v>
      </c>
      <c r="B251" s="14" t="s">
        <v>70</v>
      </c>
      <c r="C251" s="14" t="s">
        <v>28</v>
      </c>
      <c r="D251" s="14" t="s">
        <v>30</v>
      </c>
      <c r="E251" s="14" t="s">
        <v>31</v>
      </c>
      <c r="F251" s="15" t="n">
        <v>44515</v>
      </c>
      <c r="G251" s="16" t="n">
        <v>195000</v>
      </c>
      <c r="H251" s="14" t="s">
        <v>23</v>
      </c>
    </row>
    <row r="252" customFormat="false" ht="15" hidden="false" customHeight="true" outlineLevel="0" collapsed="false">
      <c r="A252" s="14" t="n">
        <v>1250</v>
      </c>
      <c r="B252" s="14" t="s">
        <v>148</v>
      </c>
      <c r="C252" s="14" t="s">
        <v>37</v>
      </c>
      <c r="D252" s="14" t="s">
        <v>21</v>
      </c>
      <c r="E252" s="14" t="s">
        <v>22</v>
      </c>
      <c r="F252" s="15" t="n">
        <v>43602</v>
      </c>
      <c r="G252" s="16" t="n">
        <v>30000</v>
      </c>
      <c r="H252" s="14" t="s">
        <v>23</v>
      </c>
    </row>
    <row r="253" customFormat="false" ht="15" hidden="false" customHeight="true" outlineLevel="0" collapsed="false">
      <c r="A253" s="14" t="n">
        <v>1251</v>
      </c>
      <c r="B253" s="14" t="s">
        <v>94</v>
      </c>
      <c r="C253" s="14" t="s">
        <v>28</v>
      </c>
      <c r="D253" s="14" t="s">
        <v>52</v>
      </c>
      <c r="E253" s="14" t="s">
        <v>31</v>
      </c>
      <c r="F253" s="15" t="n">
        <v>44813</v>
      </c>
      <c r="G253" s="16" t="n">
        <v>660000</v>
      </c>
      <c r="H253" s="14" t="s">
        <v>23</v>
      </c>
    </row>
    <row r="254" customFormat="false" ht="15" hidden="false" customHeight="true" outlineLevel="0" collapsed="false">
      <c r="A254" s="14" t="n">
        <v>1252</v>
      </c>
      <c r="B254" s="14" t="s">
        <v>224</v>
      </c>
      <c r="C254" s="14" t="s">
        <v>35</v>
      </c>
      <c r="D254" s="14" t="s">
        <v>21</v>
      </c>
      <c r="E254" s="14" t="s">
        <v>26</v>
      </c>
      <c r="F254" s="15" t="n">
        <v>45141</v>
      </c>
      <c r="G254" s="16" t="n">
        <v>101000</v>
      </c>
      <c r="H254" s="14" t="s">
        <v>23</v>
      </c>
    </row>
    <row r="255" customFormat="false" ht="15" hidden="false" customHeight="true" outlineLevel="0" collapsed="false">
      <c r="A255" s="14" t="n">
        <v>1253</v>
      </c>
      <c r="B255" s="14" t="s">
        <v>225</v>
      </c>
      <c r="C255" s="14" t="s">
        <v>35</v>
      </c>
      <c r="D255" s="14" t="s">
        <v>21</v>
      </c>
      <c r="E255" s="14" t="s">
        <v>22</v>
      </c>
      <c r="F255" s="15" t="n">
        <v>45171</v>
      </c>
      <c r="G255" s="16" t="n">
        <v>26000</v>
      </c>
      <c r="H255" s="14" t="s">
        <v>23</v>
      </c>
    </row>
    <row r="256" customFormat="false" ht="15" hidden="false" customHeight="true" outlineLevel="0" collapsed="false">
      <c r="A256" s="14" t="n">
        <v>1254</v>
      </c>
      <c r="B256" s="14" t="s">
        <v>150</v>
      </c>
      <c r="C256" s="14" t="s">
        <v>37</v>
      </c>
      <c r="D256" s="14" t="s">
        <v>21</v>
      </c>
      <c r="E256" s="14" t="s">
        <v>31</v>
      </c>
      <c r="F256" s="15" t="n">
        <v>45780</v>
      </c>
      <c r="G256" s="16" t="n">
        <v>39000</v>
      </c>
      <c r="H256" s="14" t="s">
        <v>23</v>
      </c>
    </row>
    <row r="257" customFormat="false" ht="15" hidden="false" customHeight="true" outlineLevel="0" collapsed="false">
      <c r="A257" s="14" t="n">
        <v>1255</v>
      </c>
      <c r="B257" s="14" t="s">
        <v>209</v>
      </c>
      <c r="C257" s="14" t="s">
        <v>37</v>
      </c>
      <c r="D257" s="14" t="s">
        <v>52</v>
      </c>
      <c r="E257" s="14" t="s">
        <v>22</v>
      </c>
      <c r="F257" s="15" t="n">
        <v>44599</v>
      </c>
      <c r="G257" s="16" t="n">
        <v>774000</v>
      </c>
      <c r="H257" s="14" t="s">
        <v>23</v>
      </c>
    </row>
    <row r="258" customFormat="false" ht="15" hidden="false" customHeight="true" outlineLevel="0" collapsed="false">
      <c r="A258" s="14" t="n">
        <v>1256</v>
      </c>
      <c r="B258" s="14" t="s">
        <v>226</v>
      </c>
      <c r="C258" s="14" t="s">
        <v>28</v>
      </c>
      <c r="D258" s="14" t="s">
        <v>21</v>
      </c>
      <c r="E258" s="14" t="s">
        <v>22</v>
      </c>
      <c r="F258" s="15" t="n">
        <v>44283</v>
      </c>
      <c r="G258" s="16" t="n">
        <v>36000</v>
      </c>
      <c r="H258" s="14" t="s">
        <v>23</v>
      </c>
    </row>
    <row r="259" customFormat="false" ht="15" hidden="false" customHeight="true" outlineLevel="0" collapsed="false">
      <c r="A259" s="14" t="n">
        <v>1257</v>
      </c>
      <c r="B259" s="14" t="s">
        <v>74</v>
      </c>
      <c r="C259" s="14" t="s">
        <v>43</v>
      </c>
      <c r="D259" s="14" t="s">
        <v>52</v>
      </c>
      <c r="E259" s="14" t="s">
        <v>31</v>
      </c>
      <c r="F259" s="15" t="n">
        <v>45603</v>
      </c>
      <c r="G259" s="16" t="n">
        <v>726000</v>
      </c>
      <c r="H259" s="14" t="s">
        <v>49</v>
      </c>
    </row>
    <row r="260" customFormat="false" ht="15" hidden="false" customHeight="true" outlineLevel="0" collapsed="false">
      <c r="A260" s="14" t="n">
        <v>1258</v>
      </c>
      <c r="B260" s="14" t="s">
        <v>227</v>
      </c>
      <c r="C260" s="14" t="s">
        <v>43</v>
      </c>
      <c r="D260" s="14" t="s">
        <v>52</v>
      </c>
      <c r="E260" s="14" t="s">
        <v>31</v>
      </c>
      <c r="F260" s="15" t="n">
        <v>44598</v>
      </c>
      <c r="G260" s="16" t="n">
        <v>601000</v>
      </c>
      <c r="H260" s="14" t="s">
        <v>23</v>
      </c>
    </row>
    <row r="261" customFormat="false" ht="15" hidden="false" customHeight="true" outlineLevel="0" collapsed="false">
      <c r="A261" s="14" t="n">
        <v>1259</v>
      </c>
      <c r="B261" s="14" t="s">
        <v>228</v>
      </c>
      <c r="C261" s="14" t="s">
        <v>28</v>
      </c>
      <c r="D261" s="14" t="s">
        <v>21</v>
      </c>
      <c r="E261" s="14" t="s">
        <v>22</v>
      </c>
      <c r="F261" s="15" t="n">
        <v>44465</v>
      </c>
      <c r="G261" s="16" t="n">
        <v>9000</v>
      </c>
      <c r="H261" s="14" t="s">
        <v>23</v>
      </c>
    </row>
    <row r="262" customFormat="false" ht="15" hidden="false" customHeight="true" outlineLevel="0" collapsed="false">
      <c r="A262" s="14" t="n">
        <v>1260</v>
      </c>
      <c r="B262" s="14" t="s">
        <v>207</v>
      </c>
      <c r="C262" s="14" t="s">
        <v>28</v>
      </c>
      <c r="D262" s="14" t="s">
        <v>21</v>
      </c>
      <c r="E262" s="14" t="s">
        <v>33</v>
      </c>
      <c r="F262" s="15" t="n">
        <v>45612</v>
      </c>
      <c r="G262" s="16" t="n">
        <v>-243000</v>
      </c>
      <c r="H262" s="14" t="s">
        <v>23</v>
      </c>
    </row>
    <row r="263" customFormat="false" ht="15" hidden="false" customHeight="true" outlineLevel="0" collapsed="false">
      <c r="A263" s="14" t="n">
        <v>1261</v>
      </c>
      <c r="B263" s="14" t="s">
        <v>178</v>
      </c>
      <c r="C263" s="14" t="s">
        <v>28</v>
      </c>
      <c r="D263" s="14" t="s">
        <v>21</v>
      </c>
      <c r="E263" s="14" t="s">
        <v>26</v>
      </c>
      <c r="F263" s="15" t="n">
        <v>45178</v>
      </c>
      <c r="G263" s="16" t="n">
        <v>192000</v>
      </c>
      <c r="H263" s="14" t="s">
        <v>23</v>
      </c>
    </row>
    <row r="264" customFormat="false" ht="15" hidden="false" customHeight="true" outlineLevel="0" collapsed="false">
      <c r="A264" s="14" t="n">
        <v>1262</v>
      </c>
      <c r="B264" s="14" t="s">
        <v>229</v>
      </c>
      <c r="C264" s="14" t="s">
        <v>20</v>
      </c>
      <c r="D264" s="14" t="s">
        <v>30</v>
      </c>
      <c r="E264" s="14" t="s">
        <v>31</v>
      </c>
      <c r="F264" s="15" t="n">
        <v>44457</v>
      </c>
      <c r="G264" s="16" t="n">
        <v>102000</v>
      </c>
      <c r="H264" s="14" t="s">
        <v>23</v>
      </c>
    </row>
    <row r="265" customFormat="false" ht="15" hidden="false" customHeight="true" outlineLevel="0" collapsed="false">
      <c r="A265" s="14" t="n">
        <v>1263</v>
      </c>
      <c r="B265" s="14" t="s">
        <v>155</v>
      </c>
      <c r="C265" s="14" t="s">
        <v>20</v>
      </c>
      <c r="D265" s="14" t="s">
        <v>30</v>
      </c>
      <c r="E265" s="14" t="s">
        <v>33</v>
      </c>
      <c r="F265" s="15" t="n">
        <v>45044</v>
      </c>
      <c r="G265" s="16" t="n">
        <v>-157000</v>
      </c>
      <c r="H265" s="14" t="s">
        <v>23</v>
      </c>
    </row>
    <row r="266" customFormat="false" ht="15" hidden="false" customHeight="true" outlineLevel="0" collapsed="false">
      <c r="A266" s="14" t="n">
        <v>1264</v>
      </c>
      <c r="B266" s="14" t="s">
        <v>230</v>
      </c>
      <c r="C266" s="14" t="s">
        <v>20</v>
      </c>
      <c r="D266" s="14" t="s">
        <v>21</v>
      </c>
      <c r="E266" s="14" t="s">
        <v>31</v>
      </c>
      <c r="F266" s="15" t="n">
        <v>45677</v>
      </c>
      <c r="G266" s="16" t="n">
        <v>34000</v>
      </c>
      <c r="H266" s="14" t="s">
        <v>23</v>
      </c>
    </row>
    <row r="267" customFormat="false" ht="15" hidden="false" customHeight="true" outlineLevel="0" collapsed="false">
      <c r="A267" s="14" t="n">
        <v>1265</v>
      </c>
      <c r="B267" s="14" t="s">
        <v>231</v>
      </c>
      <c r="C267" s="14" t="s">
        <v>43</v>
      </c>
      <c r="D267" s="14" t="s">
        <v>21</v>
      </c>
      <c r="E267" s="14" t="s">
        <v>31</v>
      </c>
      <c r="F267" s="15" t="n">
        <v>43551</v>
      </c>
      <c r="G267" s="16" t="n">
        <v>45000</v>
      </c>
      <c r="H267" s="14" t="s">
        <v>23</v>
      </c>
    </row>
    <row r="268" customFormat="false" ht="15" hidden="false" customHeight="true" outlineLevel="0" collapsed="false">
      <c r="A268" s="14" t="n">
        <v>1266</v>
      </c>
      <c r="B268" s="14" t="s">
        <v>232</v>
      </c>
      <c r="C268" s="14" t="s">
        <v>20</v>
      </c>
      <c r="D268" s="14" t="s">
        <v>30</v>
      </c>
      <c r="E268" s="14" t="s">
        <v>31</v>
      </c>
      <c r="F268" s="15" t="n">
        <v>45156</v>
      </c>
      <c r="G268" s="16" t="n">
        <v>113000</v>
      </c>
      <c r="H268" s="14" t="s">
        <v>23</v>
      </c>
    </row>
    <row r="269" customFormat="false" ht="15" hidden="false" customHeight="true" outlineLevel="0" collapsed="false">
      <c r="A269" s="14" t="n">
        <v>1267</v>
      </c>
      <c r="B269" s="14" t="s">
        <v>116</v>
      </c>
      <c r="C269" s="14" t="s">
        <v>43</v>
      </c>
      <c r="D269" s="14" t="s">
        <v>30</v>
      </c>
      <c r="E269" s="14" t="s">
        <v>26</v>
      </c>
      <c r="F269" s="15" t="n">
        <v>43950</v>
      </c>
      <c r="G269" s="16" t="n">
        <v>285000</v>
      </c>
      <c r="H269" s="14" t="s">
        <v>49</v>
      </c>
    </row>
    <row r="270" customFormat="false" ht="15" hidden="false" customHeight="true" outlineLevel="0" collapsed="false">
      <c r="A270" s="14" t="n">
        <v>1268</v>
      </c>
      <c r="B270" s="14" t="s">
        <v>116</v>
      </c>
      <c r="C270" s="14" t="s">
        <v>20</v>
      </c>
      <c r="D270" s="14" t="s">
        <v>21</v>
      </c>
      <c r="E270" s="14" t="s">
        <v>22</v>
      </c>
      <c r="F270" s="15" t="n">
        <v>44983</v>
      </c>
      <c r="G270" s="16" t="n">
        <v>12000</v>
      </c>
      <c r="H270" s="14" t="s">
        <v>23</v>
      </c>
    </row>
    <row r="271" customFormat="false" ht="15" hidden="false" customHeight="true" outlineLevel="0" collapsed="false">
      <c r="A271" s="14" t="n">
        <v>1269</v>
      </c>
      <c r="B271" s="14" t="s">
        <v>111</v>
      </c>
      <c r="C271" s="14" t="s">
        <v>25</v>
      </c>
      <c r="D271" s="14" t="s">
        <v>30</v>
      </c>
      <c r="E271" s="14" t="s">
        <v>26</v>
      </c>
      <c r="F271" s="15" t="n">
        <v>45940</v>
      </c>
      <c r="G271" s="16" t="n">
        <v>349000</v>
      </c>
      <c r="H271" s="14" t="s">
        <v>23</v>
      </c>
    </row>
    <row r="272" customFormat="false" ht="15" hidden="false" customHeight="true" outlineLevel="0" collapsed="false">
      <c r="A272" s="14" t="n">
        <v>1270</v>
      </c>
      <c r="B272" s="14" t="s">
        <v>41</v>
      </c>
      <c r="C272" s="14" t="s">
        <v>35</v>
      </c>
      <c r="D272" s="14" t="s">
        <v>21</v>
      </c>
      <c r="E272" s="14" t="s">
        <v>31</v>
      </c>
      <c r="F272" s="15" t="n">
        <v>44284</v>
      </c>
      <c r="G272" s="16" t="n">
        <v>20000</v>
      </c>
      <c r="H272" s="14" t="s">
        <v>23</v>
      </c>
    </row>
    <row r="273" customFormat="false" ht="15" hidden="false" customHeight="true" outlineLevel="0" collapsed="false">
      <c r="A273" s="14" t="n">
        <v>1271</v>
      </c>
      <c r="B273" s="14" t="s">
        <v>194</v>
      </c>
      <c r="C273" s="14" t="s">
        <v>28</v>
      </c>
      <c r="D273" s="14" t="s">
        <v>52</v>
      </c>
      <c r="E273" s="14" t="s">
        <v>22</v>
      </c>
      <c r="F273" s="15" t="n">
        <v>44221</v>
      </c>
      <c r="G273" s="16" t="n">
        <v>768000</v>
      </c>
      <c r="H273" s="14" t="s">
        <v>23</v>
      </c>
    </row>
    <row r="274" customFormat="false" ht="15" hidden="false" customHeight="true" outlineLevel="0" collapsed="false">
      <c r="A274" s="14" t="n">
        <v>1272</v>
      </c>
      <c r="B274" s="14" t="s">
        <v>220</v>
      </c>
      <c r="C274" s="14" t="s">
        <v>20</v>
      </c>
      <c r="D274" s="14" t="s">
        <v>52</v>
      </c>
      <c r="E274" s="14" t="s">
        <v>31</v>
      </c>
      <c r="F274" s="15" t="n">
        <v>44514</v>
      </c>
      <c r="G274" s="16" t="n">
        <v>868000</v>
      </c>
      <c r="H274" s="14" t="s">
        <v>23</v>
      </c>
    </row>
    <row r="275" customFormat="false" ht="15" hidden="false" customHeight="true" outlineLevel="0" collapsed="false">
      <c r="A275" s="14" t="n">
        <v>1273</v>
      </c>
      <c r="B275" s="14" t="s">
        <v>233</v>
      </c>
      <c r="C275" s="14" t="s">
        <v>28</v>
      </c>
      <c r="D275" s="14" t="s">
        <v>52</v>
      </c>
      <c r="E275" s="14" t="s">
        <v>31</v>
      </c>
      <c r="F275" s="15" t="n">
        <v>44151</v>
      </c>
      <c r="G275" s="16" t="n">
        <v>701000</v>
      </c>
      <c r="H275" s="14" t="s">
        <v>23</v>
      </c>
    </row>
    <row r="276" customFormat="false" ht="15" hidden="false" customHeight="true" outlineLevel="0" collapsed="false">
      <c r="A276" s="14" t="n">
        <v>1274</v>
      </c>
      <c r="B276" s="14" t="s">
        <v>84</v>
      </c>
      <c r="C276" s="14" t="s">
        <v>25</v>
      </c>
      <c r="D276" s="14" t="s">
        <v>21</v>
      </c>
      <c r="E276" s="14" t="s">
        <v>31</v>
      </c>
      <c r="F276" s="15" t="n">
        <v>43663</v>
      </c>
      <c r="G276" s="16" t="n">
        <v>18000</v>
      </c>
      <c r="H276" s="14" t="s">
        <v>23</v>
      </c>
    </row>
    <row r="277" customFormat="false" ht="15" hidden="false" customHeight="true" outlineLevel="0" collapsed="false">
      <c r="A277" s="14" t="n">
        <v>1275</v>
      </c>
      <c r="B277" s="14" t="s">
        <v>53</v>
      </c>
      <c r="C277" s="14" t="s">
        <v>35</v>
      </c>
      <c r="D277" s="14" t="s">
        <v>30</v>
      </c>
      <c r="E277" s="14" t="s">
        <v>31</v>
      </c>
      <c r="F277" s="15" t="n">
        <v>44025</v>
      </c>
      <c r="G277" s="16" t="n">
        <v>143000</v>
      </c>
      <c r="H277" s="14" t="s">
        <v>23</v>
      </c>
    </row>
    <row r="278" customFormat="false" ht="15" hidden="false" customHeight="true" outlineLevel="0" collapsed="false">
      <c r="A278" s="14" t="n">
        <v>1276</v>
      </c>
      <c r="B278" s="14" t="s">
        <v>234</v>
      </c>
      <c r="C278" s="14" t="s">
        <v>25</v>
      </c>
      <c r="D278" s="14" t="s">
        <v>21</v>
      </c>
      <c r="E278" s="14" t="s">
        <v>26</v>
      </c>
      <c r="F278" s="15" t="n">
        <v>43664</v>
      </c>
      <c r="G278" s="16" t="n">
        <v>414000</v>
      </c>
      <c r="H278" s="14" t="s">
        <v>49</v>
      </c>
    </row>
    <row r="279" customFormat="false" ht="15" hidden="false" customHeight="true" outlineLevel="0" collapsed="false">
      <c r="A279" s="14" t="n">
        <v>1277</v>
      </c>
      <c r="B279" s="14" t="s">
        <v>235</v>
      </c>
      <c r="C279" s="14" t="s">
        <v>20</v>
      </c>
      <c r="D279" s="14" t="s">
        <v>52</v>
      </c>
      <c r="E279" s="14" t="s">
        <v>22</v>
      </c>
      <c r="F279" s="15" t="n">
        <v>45056</v>
      </c>
      <c r="G279" s="16" t="n">
        <v>517000</v>
      </c>
      <c r="H279" s="14" t="s">
        <v>23</v>
      </c>
    </row>
    <row r="280" customFormat="false" ht="15" hidden="false" customHeight="true" outlineLevel="0" collapsed="false">
      <c r="A280" s="14" t="n">
        <v>1278</v>
      </c>
      <c r="B280" s="14" t="s">
        <v>236</v>
      </c>
      <c r="C280" s="14" t="s">
        <v>37</v>
      </c>
      <c r="D280" s="14" t="s">
        <v>30</v>
      </c>
      <c r="E280" s="14" t="s">
        <v>31</v>
      </c>
      <c r="F280" s="15" t="n">
        <v>45452</v>
      </c>
      <c r="G280" s="16" t="n">
        <v>174000</v>
      </c>
      <c r="H280" s="14" t="s">
        <v>23</v>
      </c>
    </row>
    <row r="281" customFormat="false" ht="15" hidden="false" customHeight="true" outlineLevel="0" collapsed="false">
      <c r="A281" s="14" t="n">
        <v>1279</v>
      </c>
      <c r="B281" s="14" t="s">
        <v>161</v>
      </c>
      <c r="C281" s="14" t="s">
        <v>25</v>
      </c>
      <c r="D281" s="14" t="s">
        <v>21</v>
      </c>
      <c r="E281" s="14" t="s">
        <v>33</v>
      </c>
      <c r="F281" s="15" t="n">
        <v>43821</v>
      </c>
      <c r="G281" s="16" t="n">
        <v>-230000</v>
      </c>
      <c r="H281" s="14" t="s">
        <v>23</v>
      </c>
    </row>
    <row r="282" customFormat="false" ht="15" hidden="false" customHeight="true" outlineLevel="0" collapsed="false">
      <c r="A282" s="14" t="n">
        <v>1280</v>
      </c>
      <c r="B282" s="14" t="s">
        <v>24</v>
      </c>
      <c r="C282" s="14" t="s">
        <v>28</v>
      </c>
      <c r="D282" s="14" t="s">
        <v>52</v>
      </c>
      <c r="E282" s="14" t="s">
        <v>33</v>
      </c>
      <c r="F282" s="15" t="n">
        <v>44286</v>
      </c>
      <c r="G282" s="16" t="n">
        <v>-242000</v>
      </c>
      <c r="H282" s="14" t="s">
        <v>23</v>
      </c>
    </row>
    <row r="283" customFormat="false" ht="15" hidden="false" customHeight="true" outlineLevel="0" collapsed="false">
      <c r="A283" s="14" t="n">
        <v>1281</v>
      </c>
      <c r="B283" s="14" t="s">
        <v>237</v>
      </c>
      <c r="C283" s="14" t="s">
        <v>25</v>
      </c>
      <c r="D283" s="14" t="s">
        <v>52</v>
      </c>
      <c r="E283" s="14" t="s">
        <v>31</v>
      </c>
      <c r="F283" s="15" t="n">
        <v>44962</v>
      </c>
      <c r="G283" s="16" t="n">
        <v>321000</v>
      </c>
      <c r="H283" s="14" t="s">
        <v>23</v>
      </c>
    </row>
    <row r="284" customFormat="false" ht="15" hidden="false" customHeight="true" outlineLevel="0" collapsed="false">
      <c r="A284" s="14" t="n">
        <v>1282</v>
      </c>
      <c r="B284" s="14" t="s">
        <v>207</v>
      </c>
      <c r="C284" s="14" t="s">
        <v>20</v>
      </c>
      <c r="D284" s="14" t="s">
        <v>21</v>
      </c>
      <c r="E284" s="14" t="s">
        <v>33</v>
      </c>
      <c r="F284" s="15" t="n">
        <v>43562</v>
      </c>
      <c r="G284" s="16" t="n">
        <v>-54000</v>
      </c>
      <c r="H284" s="14" t="s">
        <v>23</v>
      </c>
    </row>
    <row r="285" customFormat="false" ht="15" hidden="false" customHeight="true" outlineLevel="0" collapsed="false">
      <c r="A285" s="14" t="n">
        <v>1283</v>
      </c>
      <c r="B285" s="14" t="s">
        <v>121</v>
      </c>
      <c r="C285" s="14" t="s">
        <v>25</v>
      </c>
      <c r="D285" s="14" t="s">
        <v>21</v>
      </c>
      <c r="E285" s="14" t="s">
        <v>31</v>
      </c>
      <c r="F285" s="15" t="n">
        <v>44481</v>
      </c>
      <c r="G285" s="16" t="n">
        <v>48000</v>
      </c>
      <c r="H285" s="14" t="s">
        <v>23</v>
      </c>
    </row>
    <row r="286" customFormat="false" ht="15" hidden="false" customHeight="true" outlineLevel="0" collapsed="false">
      <c r="A286" s="14" t="n">
        <v>1284</v>
      </c>
      <c r="B286" s="14" t="s">
        <v>238</v>
      </c>
      <c r="C286" s="14" t="s">
        <v>20</v>
      </c>
      <c r="D286" s="14" t="s">
        <v>30</v>
      </c>
      <c r="E286" s="14" t="s">
        <v>31</v>
      </c>
      <c r="F286" s="15" t="n">
        <v>44852</v>
      </c>
      <c r="G286" s="16" t="n">
        <v>111000</v>
      </c>
      <c r="H286" s="14" t="s">
        <v>23</v>
      </c>
    </row>
    <row r="287" customFormat="false" ht="15" hidden="false" customHeight="true" outlineLevel="0" collapsed="false">
      <c r="A287" s="14" t="n">
        <v>1285</v>
      </c>
      <c r="B287" s="14" t="s">
        <v>239</v>
      </c>
      <c r="C287" s="14" t="s">
        <v>25</v>
      </c>
      <c r="D287" s="14" t="s">
        <v>52</v>
      </c>
      <c r="E287" s="14" t="s">
        <v>31</v>
      </c>
      <c r="F287" s="15" t="n">
        <v>44426</v>
      </c>
      <c r="G287" s="16" t="n">
        <v>518000</v>
      </c>
      <c r="H287" s="14" t="s">
        <v>23</v>
      </c>
    </row>
    <row r="288" customFormat="false" ht="15" hidden="false" customHeight="true" outlineLevel="0" collapsed="false">
      <c r="A288" s="14" t="n">
        <v>1286</v>
      </c>
      <c r="B288" s="14" t="s">
        <v>240</v>
      </c>
      <c r="C288" s="14" t="s">
        <v>20</v>
      </c>
      <c r="D288" s="14" t="s">
        <v>21</v>
      </c>
      <c r="E288" s="14" t="s">
        <v>22</v>
      </c>
      <c r="F288" s="15" t="n">
        <v>44337</v>
      </c>
      <c r="G288" s="16" t="n">
        <v>22000</v>
      </c>
      <c r="H288" s="14" t="s">
        <v>23</v>
      </c>
    </row>
    <row r="289" customFormat="false" ht="15" hidden="false" customHeight="true" outlineLevel="0" collapsed="false">
      <c r="A289" s="14" t="n">
        <v>1287</v>
      </c>
      <c r="B289" s="14" t="s">
        <v>157</v>
      </c>
      <c r="C289" s="14" t="s">
        <v>20</v>
      </c>
      <c r="D289" s="14" t="s">
        <v>21</v>
      </c>
      <c r="E289" s="14" t="s">
        <v>31</v>
      </c>
      <c r="F289" s="15" t="n">
        <v>43585</v>
      </c>
      <c r="G289" s="16" t="n">
        <v>43000</v>
      </c>
      <c r="H289" s="14" t="s">
        <v>23</v>
      </c>
    </row>
    <row r="290" customFormat="false" ht="15" hidden="false" customHeight="true" outlineLevel="0" collapsed="false">
      <c r="A290" s="14" t="n">
        <v>1288</v>
      </c>
      <c r="B290" s="14" t="s">
        <v>241</v>
      </c>
      <c r="C290" s="14" t="s">
        <v>25</v>
      </c>
      <c r="D290" s="14" t="s">
        <v>52</v>
      </c>
      <c r="E290" s="14" t="s">
        <v>22</v>
      </c>
      <c r="F290" s="15" t="n">
        <v>44374</v>
      </c>
      <c r="G290" s="16" t="n">
        <v>750000</v>
      </c>
      <c r="H290" s="14" t="s">
        <v>23</v>
      </c>
    </row>
    <row r="291" customFormat="false" ht="15" hidden="false" customHeight="true" outlineLevel="0" collapsed="false">
      <c r="A291" s="14" t="n">
        <v>1289</v>
      </c>
      <c r="B291" s="14" t="s">
        <v>242</v>
      </c>
      <c r="C291" s="14" t="s">
        <v>28</v>
      </c>
      <c r="D291" s="14" t="s">
        <v>21</v>
      </c>
      <c r="E291" s="14" t="s">
        <v>31</v>
      </c>
      <c r="F291" s="15" t="n">
        <v>44964</v>
      </c>
      <c r="G291" s="16" t="n">
        <v>10000</v>
      </c>
      <c r="H291" s="14" t="s">
        <v>23</v>
      </c>
    </row>
    <row r="292" customFormat="false" ht="15" hidden="false" customHeight="true" outlineLevel="0" collapsed="false">
      <c r="A292" s="14" t="n">
        <v>1290</v>
      </c>
      <c r="B292" s="14" t="s">
        <v>138</v>
      </c>
      <c r="C292" s="14" t="s">
        <v>28</v>
      </c>
      <c r="D292" s="14" t="s">
        <v>30</v>
      </c>
      <c r="E292" s="14" t="s">
        <v>33</v>
      </c>
      <c r="F292" s="15" t="n">
        <v>45821</v>
      </c>
      <c r="G292" s="16" t="n">
        <v>-210000</v>
      </c>
      <c r="H292" s="14" t="s">
        <v>23</v>
      </c>
    </row>
    <row r="293" customFormat="false" ht="15" hidden="false" customHeight="true" outlineLevel="0" collapsed="false">
      <c r="A293" s="14" t="n">
        <v>1291</v>
      </c>
      <c r="B293" s="14" t="s">
        <v>72</v>
      </c>
      <c r="C293" s="14" t="s">
        <v>37</v>
      </c>
      <c r="D293" s="14" t="s">
        <v>21</v>
      </c>
      <c r="E293" s="14" t="s">
        <v>33</v>
      </c>
      <c r="F293" s="15" t="n">
        <v>45264</v>
      </c>
      <c r="G293" s="16" t="n">
        <v>-119000</v>
      </c>
      <c r="H293" s="14" t="s">
        <v>49</v>
      </c>
    </row>
    <row r="294" customFormat="false" ht="15" hidden="false" customHeight="true" outlineLevel="0" collapsed="false">
      <c r="A294" s="14" t="n">
        <v>1292</v>
      </c>
      <c r="B294" s="14" t="s">
        <v>57</v>
      </c>
      <c r="C294" s="14" t="s">
        <v>35</v>
      </c>
      <c r="D294" s="14" t="s">
        <v>21</v>
      </c>
      <c r="E294" s="14" t="s">
        <v>31</v>
      </c>
      <c r="F294" s="15" t="n">
        <v>43929</v>
      </c>
      <c r="G294" s="16" t="n">
        <v>33000</v>
      </c>
      <c r="H294" s="14" t="s">
        <v>23</v>
      </c>
    </row>
    <row r="295" customFormat="false" ht="15" hidden="false" customHeight="true" outlineLevel="0" collapsed="false">
      <c r="A295" s="14" t="n">
        <v>1293</v>
      </c>
      <c r="B295" s="14" t="s">
        <v>175</v>
      </c>
      <c r="C295" s="14" t="s">
        <v>28</v>
      </c>
      <c r="D295" s="14" t="s">
        <v>21</v>
      </c>
      <c r="E295" s="14" t="s">
        <v>33</v>
      </c>
      <c r="F295" s="15" t="n">
        <v>43942</v>
      </c>
      <c r="G295" s="16" t="n">
        <v>-179000</v>
      </c>
      <c r="H295" s="14" t="s">
        <v>23</v>
      </c>
    </row>
    <row r="296" customFormat="false" ht="15" hidden="false" customHeight="true" outlineLevel="0" collapsed="false">
      <c r="A296" s="14" t="n">
        <v>1294</v>
      </c>
      <c r="B296" s="14" t="s">
        <v>243</v>
      </c>
      <c r="C296" s="14" t="s">
        <v>28</v>
      </c>
      <c r="D296" s="14" t="s">
        <v>21</v>
      </c>
      <c r="E296" s="14" t="s">
        <v>22</v>
      </c>
      <c r="F296" s="15" t="n">
        <v>45203</v>
      </c>
      <c r="G296" s="16" t="n">
        <v>9000</v>
      </c>
      <c r="H296" s="14" t="s">
        <v>23</v>
      </c>
    </row>
    <row r="297" customFormat="false" ht="15" hidden="false" customHeight="true" outlineLevel="0" collapsed="false">
      <c r="A297" s="14" t="n">
        <v>1295</v>
      </c>
      <c r="B297" s="14" t="s">
        <v>149</v>
      </c>
      <c r="C297" s="14" t="s">
        <v>20</v>
      </c>
      <c r="D297" s="14" t="s">
        <v>30</v>
      </c>
      <c r="E297" s="14" t="s">
        <v>22</v>
      </c>
      <c r="F297" s="15" t="n">
        <v>43190</v>
      </c>
      <c r="G297" s="16" t="n">
        <v>193000</v>
      </c>
      <c r="H297" s="14" t="s">
        <v>23</v>
      </c>
    </row>
    <row r="298" customFormat="false" ht="15" hidden="false" customHeight="true" outlineLevel="0" collapsed="false">
      <c r="A298" s="14" t="n">
        <v>1296</v>
      </c>
      <c r="B298" s="14" t="s">
        <v>213</v>
      </c>
      <c r="C298" s="14" t="s">
        <v>37</v>
      </c>
      <c r="D298" s="14" t="s">
        <v>21</v>
      </c>
      <c r="E298" s="14" t="s">
        <v>31</v>
      </c>
      <c r="F298" s="15" t="n">
        <v>44512</v>
      </c>
      <c r="G298" s="16" t="n">
        <v>28000</v>
      </c>
      <c r="H298" s="14" t="s">
        <v>49</v>
      </c>
    </row>
    <row r="299" customFormat="false" ht="15" hidden="false" customHeight="true" outlineLevel="0" collapsed="false">
      <c r="A299" s="14" t="n">
        <v>1297</v>
      </c>
      <c r="B299" s="14" t="s">
        <v>244</v>
      </c>
      <c r="C299" s="14" t="s">
        <v>20</v>
      </c>
      <c r="D299" s="14" t="s">
        <v>21</v>
      </c>
      <c r="E299" s="14" t="s">
        <v>33</v>
      </c>
      <c r="F299" s="15" t="n">
        <v>44775</v>
      </c>
      <c r="G299" s="16" t="n">
        <v>-78000</v>
      </c>
      <c r="H299" s="14" t="s">
        <v>23</v>
      </c>
    </row>
    <row r="300" customFormat="false" ht="15" hidden="false" customHeight="true" outlineLevel="0" collapsed="false">
      <c r="A300" s="14" t="n">
        <v>1298</v>
      </c>
      <c r="B300" s="14" t="s">
        <v>169</v>
      </c>
      <c r="C300" s="14" t="s">
        <v>20</v>
      </c>
      <c r="D300" s="14" t="s">
        <v>21</v>
      </c>
      <c r="E300" s="14" t="s">
        <v>22</v>
      </c>
      <c r="F300" s="15" t="n">
        <v>44667</v>
      </c>
      <c r="G300" s="16" t="n">
        <v>58000</v>
      </c>
      <c r="H300" s="14" t="s">
        <v>23</v>
      </c>
    </row>
    <row r="301" customFormat="false" ht="15" hidden="false" customHeight="true" outlineLevel="0" collapsed="false">
      <c r="A301" s="14" t="n">
        <v>1299</v>
      </c>
      <c r="B301" s="14" t="s">
        <v>245</v>
      </c>
      <c r="C301" s="14" t="s">
        <v>28</v>
      </c>
      <c r="D301" s="14" t="s">
        <v>30</v>
      </c>
      <c r="E301" s="14" t="s">
        <v>33</v>
      </c>
      <c r="F301" s="15" t="n">
        <v>45777</v>
      </c>
      <c r="G301" s="16" t="n">
        <v>-39000</v>
      </c>
      <c r="H301" s="14" t="s">
        <v>23</v>
      </c>
    </row>
    <row r="302" customFormat="false" ht="15" hidden="false" customHeight="true" outlineLevel="0" collapsed="false">
      <c r="A302" s="14" t="n">
        <v>1300</v>
      </c>
      <c r="B302" s="14" t="s">
        <v>246</v>
      </c>
      <c r="C302" s="14" t="s">
        <v>20</v>
      </c>
      <c r="D302" s="14" t="s">
        <v>21</v>
      </c>
      <c r="E302" s="14" t="s">
        <v>31</v>
      </c>
      <c r="F302" s="15" t="n">
        <v>43115</v>
      </c>
      <c r="G302" s="16" t="n">
        <v>15000</v>
      </c>
      <c r="H302" s="14" t="s">
        <v>23</v>
      </c>
    </row>
    <row r="303" customFormat="false" ht="15" hidden="false" customHeight="true" outlineLevel="0" collapsed="false">
      <c r="A303" s="14" t="n">
        <v>1301</v>
      </c>
      <c r="B303" s="14" t="s">
        <v>247</v>
      </c>
      <c r="C303" s="14" t="s">
        <v>35</v>
      </c>
      <c r="D303" s="14" t="s">
        <v>21</v>
      </c>
      <c r="E303" s="14" t="s">
        <v>22</v>
      </c>
      <c r="F303" s="15" t="n">
        <v>44041</v>
      </c>
      <c r="G303" s="16" t="n">
        <v>53000</v>
      </c>
      <c r="H303" s="14" t="s">
        <v>23</v>
      </c>
    </row>
    <row r="304" customFormat="false" ht="15" hidden="false" customHeight="true" outlineLevel="0" collapsed="false">
      <c r="A304" s="14" t="n">
        <v>1302</v>
      </c>
      <c r="B304" s="14" t="s">
        <v>45</v>
      </c>
      <c r="C304" s="14" t="s">
        <v>37</v>
      </c>
      <c r="D304" s="14" t="s">
        <v>30</v>
      </c>
      <c r="E304" s="14" t="s">
        <v>31</v>
      </c>
      <c r="F304" s="15" t="n">
        <v>43232</v>
      </c>
      <c r="G304" s="16" t="n">
        <v>36000</v>
      </c>
      <c r="H304" s="14" t="s">
        <v>23</v>
      </c>
    </row>
    <row r="305" customFormat="false" ht="15" hidden="false" customHeight="true" outlineLevel="0" collapsed="false">
      <c r="A305" s="14" t="n">
        <v>1303</v>
      </c>
      <c r="B305" s="14" t="s">
        <v>71</v>
      </c>
      <c r="C305" s="14" t="s">
        <v>37</v>
      </c>
      <c r="D305" s="14" t="s">
        <v>21</v>
      </c>
      <c r="E305" s="14" t="s">
        <v>31</v>
      </c>
      <c r="F305" s="15" t="n">
        <v>43238</v>
      </c>
      <c r="G305" s="16" t="n">
        <v>39000</v>
      </c>
      <c r="H305" s="14" t="s">
        <v>23</v>
      </c>
    </row>
    <row r="306" customFormat="false" ht="15" hidden="false" customHeight="true" outlineLevel="0" collapsed="false">
      <c r="A306" s="14" t="n">
        <v>1304</v>
      </c>
      <c r="B306" s="14" t="s">
        <v>248</v>
      </c>
      <c r="C306" s="14" t="s">
        <v>37</v>
      </c>
      <c r="D306" s="14" t="s">
        <v>21</v>
      </c>
      <c r="E306" s="14" t="s">
        <v>31</v>
      </c>
      <c r="F306" s="15" t="n">
        <v>44060</v>
      </c>
      <c r="G306" s="16" t="n">
        <v>29000</v>
      </c>
      <c r="H306" s="14" t="s">
        <v>23</v>
      </c>
    </row>
    <row r="307" customFormat="false" ht="15" hidden="false" customHeight="true" outlineLevel="0" collapsed="false">
      <c r="A307" s="14" t="n">
        <v>1305</v>
      </c>
      <c r="B307" s="14" t="s">
        <v>249</v>
      </c>
      <c r="C307" s="14" t="s">
        <v>20</v>
      </c>
      <c r="D307" s="14" t="s">
        <v>52</v>
      </c>
      <c r="E307" s="14" t="s">
        <v>31</v>
      </c>
      <c r="F307" s="15" t="n">
        <v>45460</v>
      </c>
      <c r="G307" s="16" t="n">
        <v>269000</v>
      </c>
      <c r="H307" s="14" t="s">
        <v>23</v>
      </c>
    </row>
    <row r="308" customFormat="false" ht="15" hidden="false" customHeight="true" outlineLevel="0" collapsed="false">
      <c r="A308" s="14" t="n">
        <v>1306</v>
      </c>
      <c r="B308" s="14" t="s">
        <v>250</v>
      </c>
      <c r="C308" s="14" t="s">
        <v>35</v>
      </c>
      <c r="D308" s="14" t="s">
        <v>21</v>
      </c>
      <c r="E308" s="14" t="s">
        <v>26</v>
      </c>
      <c r="F308" s="15" t="n">
        <v>43687</v>
      </c>
      <c r="G308" s="16" t="n">
        <v>468000</v>
      </c>
      <c r="H308" s="14" t="s">
        <v>23</v>
      </c>
    </row>
    <row r="309" customFormat="false" ht="15" hidden="false" customHeight="true" outlineLevel="0" collapsed="false">
      <c r="A309" s="14" t="n">
        <v>1307</v>
      </c>
      <c r="B309" s="14" t="s">
        <v>251</v>
      </c>
      <c r="C309" s="14" t="s">
        <v>35</v>
      </c>
      <c r="D309" s="14" t="s">
        <v>52</v>
      </c>
      <c r="E309" s="14" t="s">
        <v>31</v>
      </c>
      <c r="F309" s="15" t="n">
        <v>43818</v>
      </c>
      <c r="G309" s="16" t="n">
        <v>782000</v>
      </c>
      <c r="H309" s="14" t="s">
        <v>23</v>
      </c>
    </row>
    <row r="310" customFormat="false" ht="15" hidden="false" customHeight="true" outlineLevel="0" collapsed="false">
      <c r="A310" s="14" t="n">
        <v>1308</v>
      </c>
      <c r="B310" s="14" t="s">
        <v>252</v>
      </c>
      <c r="C310" s="14" t="s">
        <v>35</v>
      </c>
      <c r="D310" s="14" t="s">
        <v>30</v>
      </c>
      <c r="E310" s="14" t="s">
        <v>33</v>
      </c>
      <c r="F310" s="15" t="n">
        <v>45249</v>
      </c>
      <c r="G310" s="16" t="n">
        <v>-206000</v>
      </c>
      <c r="H310" s="14" t="s">
        <v>23</v>
      </c>
    </row>
    <row r="311" customFormat="false" ht="15" hidden="false" customHeight="true" outlineLevel="0" collapsed="false">
      <c r="A311" s="14" t="n">
        <v>1309</v>
      </c>
      <c r="B311" s="14" t="s">
        <v>253</v>
      </c>
      <c r="C311" s="14" t="s">
        <v>25</v>
      </c>
      <c r="D311" s="14" t="s">
        <v>30</v>
      </c>
      <c r="E311" s="14" t="s">
        <v>31</v>
      </c>
      <c r="F311" s="15" t="n">
        <v>44088</v>
      </c>
      <c r="G311" s="16" t="n">
        <v>129000</v>
      </c>
      <c r="H311" s="14" t="s">
        <v>23</v>
      </c>
    </row>
    <row r="312" customFormat="false" ht="15" hidden="false" customHeight="true" outlineLevel="0" collapsed="false">
      <c r="A312" s="14" t="n">
        <v>1310</v>
      </c>
      <c r="B312" s="14" t="s">
        <v>251</v>
      </c>
      <c r="C312" s="14" t="s">
        <v>43</v>
      </c>
      <c r="D312" s="14" t="s">
        <v>52</v>
      </c>
      <c r="E312" s="14" t="s">
        <v>26</v>
      </c>
      <c r="F312" s="15" t="n">
        <v>44791</v>
      </c>
      <c r="G312" s="16" t="n">
        <v>307000</v>
      </c>
      <c r="H312" s="14" t="s">
        <v>23</v>
      </c>
    </row>
    <row r="313" customFormat="false" ht="15" hidden="false" customHeight="true" outlineLevel="0" collapsed="false">
      <c r="A313" s="14" t="n">
        <v>1311</v>
      </c>
      <c r="B313" s="14" t="s">
        <v>181</v>
      </c>
      <c r="C313" s="14" t="s">
        <v>20</v>
      </c>
      <c r="D313" s="14" t="s">
        <v>21</v>
      </c>
      <c r="E313" s="14" t="s">
        <v>31</v>
      </c>
      <c r="F313" s="15" t="n">
        <v>43424</v>
      </c>
      <c r="G313" s="16" t="n">
        <v>42000</v>
      </c>
      <c r="H313" s="14" t="s">
        <v>23</v>
      </c>
    </row>
    <row r="314" customFormat="false" ht="15" hidden="false" customHeight="true" outlineLevel="0" collapsed="false">
      <c r="A314" s="14" t="n">
        <v>1312</v>
      </c>
      <c r="B314" s="14" t="s">
        <v>254</v>
      </c>
      <c r="C314" s="14" t="s">
        <v>37</v>
      </c>
      <c r="D314" s="14" t="s">
        <v>21</v>
      </c>
      <c r="E314" s="14" t="s">
        <v>26</v>
      </c>
      <c r="F314" s="15" t="n">
        <v>45860</v>
      </c>
      <c r="G314" s="16" t="n">
        <v>213000</v>
      </c>
      <c r="H314" s="14" t="s">
        <v>23</v>
      </c>
    </row>
    <row r="315" customFormat="false" ht="15" hidden="false" customHeight="true" outlineLevel="0" collapsed="false">
      <c r="A315" s="14" t="n">
        <v>1313</v>
      </c>
      <c r="B315" s="14" t="s">
        <v>248</v>
      </c>
      <c r="C315" s="14" t="s">
        <v>35</v>
      </c>
      <c r="D315" s="14" t="s">
        <v>30</v>
      </c>
      <c r="E315" s="14" t="s">
        <v>31</v>
      </c>
      <c r="F315" s="15" t="n">
        <v>45851</v>
      </c>
      <c r="G315" s="16" t="n">
        <v>193000</v>
      </c>
      <c r="H315" s="14" t="s">
        <v>23</v>
      </c>
    </row>
    <row r="316" customFormat="false" ht="15" hidden="false" customHeight="true" outlineLevel="0" collapsed="false">
      <c r="A316" s="14" t="n">
        <v>1314</v>
      </c>
      <c r="B316" s="14" t="s">
        <v>255</v>
      </c>
      <c r="C316" s="14" t="s">
        <v>20</v>
      </c>
      <c r="D316" s="14" t="s">
        <v>52</v>
      </c>
      <c r="E316" s="14" t="s">
        <v>31</v>
      </c>
      <c r="F316" s="15" t="n">
        <v>43879</v>
      </c>
      <c r="G316" s="16" t="n">
        <v>246000</v>
      </c>
      <c r="H316" s="14" t="s">
        <v>49</v>
      </c>
    </row>
    <row r="317" customFormat="false" ht="15" hidden="false" customHeight="true" outlineLevel="0" collapsed="false">
      <c r="A317" s="14" t="n">
        <v>1315</v>
      </c>
      <c r="B317" s="14" t="s">
        <v>116</v>
      </c>
      <c r="C317" s="14" t="s">
        <v>43</v>
      </c>
      <c r="D317" s="14" t="s">
        <v>21</v>
      </c>
      <c r="E317" s="14" t="s">
        <v>22</v>
      </c>
      <c r="F317" s="15" t="n">
        <v>44081</v>
      </c>
      <c r="G317" s="16" t="n">
        <v>59000</v>
      </c>
      <c r="H317" s="14" t="s">
        <v>23</v>
      </c>
    </row>
    <row r="318" customFormat="false" ht="15" hidden="false" customHeight="true" outlineLevel="0" collapsed="false">
      <c r="A318" s="14" t="n">
        <v>1316</v>
      </c>
      <c r="B318" s="14" t="s">
        <v>219</v>
      </c>
      <c r="C318" s="14" t="s">
        <v>43</v>
      </c>
      <c r="D318" s="14" t="s">
        <v>30</v>
      </c>
      <c r="E318" s="14" t="s">
        <v>22</v>
      </c>
      <c r="F318" s="15" t="n">
        <v>44172</v>
      </c>
      <c r="G318" s="16" t="n">
        <v>86000</v>
      </c>
      <c r="H318" s="14" t="s">
        <v>49</v>
      </c>
    </row>
    <row r="319" customFormat="false" ht="15" hidden="false" customHeight="true" outlineLevel="0" collapsed="false">
      <c r="A319" s="14" t="n">
        <v>1317</v>
      </c>
      <c r="B319" s="14" t="s">
        <v>86</v>
      </c>
      <c r="C319" s="14" t="s">
        <v>37</v>
      </c>
      <c r="D319" s="14" t="s">
        <v>52</v>
      </c>
      <c r="E319" s="14" t="s">
        <v>31</v>
      </c>
      <c r="F319" s="15" t="n">
        <v>44412</v>
      </c>
      <c r="G319" s="16" t="n">
        <v>510000</v>
      </c>
      <c r="H319" s="14" t="s">
        <v>23</v>
      </c>
    </row>
    <row r="320" customFormat="false" ht="15" hidden="false" customHeight="true" outlineLevel="0" collapsed="false">
      <c r="A320" s="14" t="n">
        <v>1318</v>
      </c>
      <c r="B320" s="14" t="s">
        <v>39</v>
      </c>
      <c r="C320" s="14" t="s">
        <v>28</v>
      </c>
      <c r="D320" s="14" t="s">
        <v>21</v>
      </c>
      <c r="E320" s="14" t="s">
        <v>22</v>
      </c>
      <c r="F320" s="15" t="n">
        <v>43167</v>
      </c>
      <c r="G320" s="16" t="n">
        <v>10000</v>
      </c>
      <c r="H320" s="14" t="s">
        <v>49</v>
      </c>
    </row>
    <row r="321" customFormat="false" ht="15" hidden="false" customHeight="true" outlineLevel="0" collapsed="false">
      <c r="A321" s="14" t="n">
        <v>1319</v>
      </c>
      <c r="B321" s="14" t="s">
        <v>222</v>
      </c>
      <c r="C321" s="14" t="s">
        <v>25</v>
      </c>
      <c r="D321" s="14" t="s">
        <v>21</v>
      </c>
      <c r="E321" s="14" t="s">
        <v>26</v>
      </c>
      <c r="F321" s="15" t="n">
        <v>44452</v>
      </c>
      <c r="G321" s="16" t="n">
        <v>120000</v>
      </c>
      <c r="H321" s="1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4"/>
  </cols>
  <sheetData>
    <row r="1" customFormat="false" ht="15" hidden="false" customHeight="true" outlineLevel="0" collapsed="false">
      <c r="A1" s="13" t="s">
        <v>256</v>
      </c>
      <c r="B1" s="13" t="s">
        <v>13</v>
      </c>
      <c r="C1" s="13" t="s">
        <v>257</v>
      </c>
      <c r="D1" s="13" t="s">
        <v>258</v>
      </c>
      <c r="E1" s="13" t="s">
        <v>259</v>
      </c>
      <c r="F1" s="13" t="s">
        <v>260</v>
      </c>
    </row>
    <row r="2" customFormat="false" ht="15" hidden="false" customHeight="true" outlineLevel="0" collapsed="false">
      <c r="A2" s="17" t="n">
        <v>45474</v>
      </c>
      <c r="B2" s="14" t="s">
        <v>37</v>
      </c>
      <c r="C2" s="18" t="n">
        <v>2845000</v>
      </c>
      <c r="D2" s="18" t="n">
        <v>2855000</v>
      </c>
      <c r="E2" s="16" t="n">
        <f aca="false">C2-D2</f>
        <v>-10000</v>
      </c>
      <c r="F2" s="14" t="n">
        <v>1782</v>
      </c>
    </row>
    <row r="3" customFormat="false" ht="15" hidden="false" customHeight="true" outlineLevel="0" collapsed="false">
      <c r="A3" s="17" t="n">
        <v>45474</v>
      </c>
      <c r="B3" s="14" t="s">
        <v>25</v>
      </c>
      <c r="C3" s="18" t="n">
        <v>1854000</v>
      </c>
      <c r="D3" s="18" t="n">
        <v>2601000</v>
      </c>
      <c r="E3" s="16" t="n">
        <f aca="false">C3-D3</f>
        <v>-747000</v>
      </c>
      <c r="F3" s="14" t="n">
        <v>2409</v>
      </c>
    </row>
    <row r="4" customFormat="false" ht="15" hidden="false" customHeight="true" outlineLevel="0" collapsed="false">
      <c r="A4" s="17" t="n">
        <v>45474</v>
      </c>
      <c r="B4" s="14" t="s">
        <v>35</v>
      </c>
      <c r="C4" s="18" t="n">
        <v>2687000</v>
      </c>
      <c r="D4" s="18" t="n">
        <v>1289000</v>
      </c>
      <c r="E4" s="16" t="n">
        <f aca="false">C4-D4</f>
        <v>1398000</v>
      </c>
      <c r="F4" s="14" t="n">
        <v>1842</v>
      </c>
    </row>
    <row r="5" customFormat="false" ht="15" hidden="false" customHeight="true" outlineLevel="0" collapsed="false">
      <c r="A5" s="17" t="n">
        <v>45474</v>
      </c>
      <c r="B5" s="14" t="s">
        <v>43</v>
      </c>
      <c r="C5" s="18" t="n">
        <v>1493000</v>
      </c>
      <c r="D5" s="18" t="n">
        <v>1173000</v>
      </c>
      <c r="E5" s="16" t="n">
        <f aca="false">C5-D5</f>
        <v>320000</v>
      </c>
      <c r="F5" s="14" t="n">
        <v>2400</v>
      </c>
    </row>
    <row r="6" customFormat="false" ht="15" hidden="false" customHeight="true" outlineLevel="0" collapsed="false">
      <c r="A6" s="17" t="n">
        <v>45474</v>
      </c>
      <c r="B6" s="14" t="s">
        <v>28</v>
      </c>
      <c r="C6" s="18" t="n">
        <v>1553000</v>
      </c>
      <c r="D6" s="18" t="n">
        <v>2820000</v>
      </c>
      <c r="E6" s="16" t="n">
        <f aca="false">C6-D6</f>
        <v>-1267000</v>
      </c>
      <c r="F6" s="14" t="n">
        <v>640</v>
      </c>
    </row>
    <row r="7" customFormat="false" ht="15" hidden="false" customHeight="true" outlineLevel="0" collapsed="false">
      <c r="A7" s="17" t="n">
        <v>45474</v>
      </c>
      <c r="B7" s="14" t="s">
        <v>20</v>
      </c>
      <c r="C7" s="18" t="n">
        <v>2946000</v>
      </c>
      <c r="D7" s="18" t="n">
        <v>738000</v>
      </c>
      <c r="E7" s="16" t="n">
        <f aca="false">C7-D7</f>
        <v>2208000</v>
      </c>
      <c r="F7" s="14" t="n">
        <v>704</v>
      </c>
    </row>
    <row r="8" customFormat="false" ht="15" hidden="false" customHeight="true" outlineLevel="0" collapsed="false">
      <c r="A8" s="17" t="n">
        <v>45505</v>
      </c>
      <c r="B8" s="14" t="s">
        <v>37</v>
      </c>
      <c r="C8" s="18" t="n">
        <v>998000</v>
      </c>
      <c r="D8" s="18" t="n">
        <v>626000</v>
      </c>
      <c r="E8" s="16" t="n">
        <f aca="false">C8-D8</f>
        <v>372000</v>
      </c>
      <c r="F8" s="14" t="n">
        <v>2089</v>
      </c>
    </row>
    <row r="9" customFormat="false" ht="15" hidden="false" customHeight="true" outlineLevel="0" collapsed="false">
      <c r="A9" s="17" t="n">
        <v>45505</v>
      </c>
      <c r="B9" s="14" t="s">
        <v>25</v>
      </c>
      <c r="C9" s="18" t="n">
        <v>1363000</v>
      </c>
      <c r="D9" s="18" t="n">
        <v>3183000</v>
      </c>
      <c r="E9" s="16" t="n">
        <f aca="false">C9-D9</f>
        <v>-1820000</v>
      </c>
      <c r="F9" s="14" t="n">
        <v>1347</v>
      </c>
    </row>
    <row r="10" customFormat="false" ht="15" hidden="false" customHeight="true" outlineLevel="0" collapsed="false">
      <c r="A10" s="17" t="n">
        <v>45505</v>
      </c>
      <c r="B10" s="14" t="s">
        <v>35</v>
      </c>
      <c r="C10" s="18" t="n">
        <v>1078000</v>
      </c>
      <c r="D10" s="18" t="n">
        <v>1218000</v>
      </c>
      <c r="E10" s="16" t="n">
        <f aca="false">C10-D10</f>
        <v>-140000</v>
      </c>
      <c r="F10" s="14" t="n">
        <v>437</v>
      </c>
    </row>
    <row r="11" customFormat="false" ht="15" hidden="false" customHeight="true" outlineLevel="0" collapsed="false">
      <c r="A11" s="17" t="n">
        <v>45505</v>
      </c>
      <c r="B11" s="14" t="s">
        <v>43</v>
      </c>
      <c r="C11" s="18" t="n">
        <v>1695000</v>
      </c>
      <c r="D11" s="18" t="n">
        <v>2671000</v>
      </c>
      <c r="E11" s="16" t="n">
        <f aca="false">C11-D11</f>
        <v>-976000</v>
      </c>
      <c r="F11" s="14" t="n">
        <v>2267</v>
      </c>
    </row>
    <row r="12" customFormat="false" ht="15" hidden="false" customHeight="true" outlineLevel="0" collapsed="false">
      <c r="A12" s="17" t="n">
        <v>45505</v>
      </c>
      <c r="B12" s="14" t="s">
        <v>28</v>
      </c>
      <c r="C12" s="18" t="n">
        <v>2328000</v>
      </c>
      <c r="D12" s="18" t="n">
        <v>847000</v>
      </c>
      <c r="E12" s="16" t="n">
        <f aca="false">C12-D12</f>
        <v>1481000</v>
      </c>
      <c r="F12" s="14" t="n">
        <v>2379</v>
      </c>
    </row>
    <row r="13" customFormat="false" ht="15" hidden="false" customHeight="true" outlineLevel="0" collapsed="false">
      <c r="A13" s="17" t="n">
        <v>45505</v>
      </c>
      <c r="B13" s="14" t="s">
        <v>20</v>
      </c>
      <c r="C13" s="18" t="n">
        <v>3500000</v>
      </c>
      <c r="D13" s="18" t="n">
        <v>2598000</v>
      </c>
      <c r="E13" s="16" t="n">
        <f aca="false">C13-D13</f>
        <v>902000</v>
      </c>
      <c r="F13" s="14" t="n">
        <v>464</v>
      </c>
    </row>
    <row r="14" customFormat="false" ht="15" hidden="false" customHeight="true" outlineLevel="0" collapsed="false">
      <c r="A14" s="17" t="n">
        <v>45536</v>
      </c>
      <c r="B14" s="14" t="s">
        <v>37</v>
      </c>
      <c r="C14" s="18" t="n">
        <v>827000</v>
      </c>
      <c r="D14" s="18" t="n">
        <v>2779000</v>
      </c>
      <c r="E14" s="16" t="n">
        <f aca="false">C14-D14</f>
        <v>-1952000</v>
      </c>
      <c r="F14" s="14" t="n">
        <v>2084</v>
      </c>
    </row>
    <row r="15" customFormat="false" ht="15" hidden="false" customHeight="true" outlineLevel="0" collapsed="false">
      <c r="A15" s="17" t="n">
        <v>45536</v>
      </c>
      <c r="B15" s="14" t="s">
        <v>25</v>
      </c>
      <c r="C15" s="18" t="n">
        <v>848000</v>
      </c>
      <c r="D15" s="18" t="n">
        <v>668000</v>
      </c>
      <c r="E15" s="16" t="n">
        <f aca="false">C15-D15</f>
        <v>180000</v>
      </c>
      <c r="F15" s="14" t="n">
        <v>1525</v>
      </c>
    </row>
    <row r="16" customFormat="false" ht="15" hidden="false" customHeight="true" outlineLevel="0" collapsed="false">
      <c r="A16" s="17" t="n">
        <v>45536</v>
      </c>
      <c r="B16" s="14" t="s">
        <v>35</v>
      </c>
      <c r="C16" s="18" t="n">
        <v>2994000</v>
      </c>
      <c r="D16" s="18" t="n">
        <v>1774000</v>
      </c>
      <c r="E16" s="16" t="n">
        <f aca="false">C16-D16</f>
        <v>1220000</v>
      </c>
      <c r="F16" s="14" t="n">
        <v>470</v>
      </c>
    </row>
    <row r="17" customFormat="false" ht="15" hidden="false" customHeight="true" outlineLevel="0" collapsed="false">
      <c r="A17" s="17" t="n">
        <v>45536</v>
      </c>
      <c r="B17" s="14" t="s">
        <v>43</v>
      </c>
      <c r="C17" s="18" t="n">
        <v>2857000</v>
      </c>
      <c r="D17" s="18" t="n">
        <v>2363000</v>
      </c>
      <c r="E17" s="16" t="n">
        <f aca="false">C17-D17</f>
        <v>494000</v>
      </c>
      <c r="F17" s="14" t="n">
        <v>1134</v>
      </c>
    </row>
    <row r="18" customFormat="false" ht="15" hidden="false" customHeight="true" outlineLevel="0" collapsed="false">
      <c r="A18" s="17" t="n">
        <v>45536</v>
      </c>
      <c r="B18" s="14" t="s">
        <v>28</v>
      </c>
      <c r="C18" s="18" t="n">
        <v>1238000</v>
      </c>
      <c r="D18" s="18" t="n">
        <v>994000</v>
      </c>
      <c r="E18" s="16" t="n">
        <f aca="false">C18-D18</f>
        <v>244000</v>
      </c>
      <c r="F18" s="14" t="n">
        <v>1009</v>
      </c>
    </row>
    <row r="19" customFormat="false" ht="15" hidden="false" customHeight="true" outlineLevel="0" collapsed="false">
      <c r="A19" s="17" t="n">
        <v>45536</v>
      </c>
      <c r="B19" s="14" t="s">
        <v>20</v>
      </c>
      <c r="C19" s="18" t="n">
        <v>1787000</v>
      </c>
      <c r="D19" s="18" t="n">
        <v>1386000</v>
      </c>
      <c r="E19" s="16" t="n">
        <f aca="false">C19-D19</f>
        <v>401000</v>
      </c>
      <c r="F19" s="14" t="n">
        <v>1433</v>
      </c>
    </row>
    <row r="20" customFormat="false" ht="15" hidden="false" customHeight="true" outlineLevel="0" collapsed="false">
      <c r="A20" s="17" t="n">
        <v>45566</v>
      </c>
      <c r="B20" s="14" t="s">
        <v>37</v>
      </c>
      <c r="C20" s="18" t="n">
        <v>2251000</v>
      </c>
      <c r="D20" s="18" t="n">
        <v>1694000</v>
      </c>
      <c r="E20" s="16" t="n">
        <f aca="false">C20-D20</f>
        <v>557000</v>
      </c>
      <c r="F20" s="14" t="n">
        <v>2025</v>
      </c>
    </row>
    <row r="21" customFormat="false" ht="15" hidden="false" customHeight="true" outlineLevel="0" collapsed="false">
      <c r="A21" s="17" t="n">
        <v>45566</v>
      </c>
      <c r="B21" s="14" t="s">
        <v>25</v>
      </c>
      <c r="C21" s="18" t="n">
        <v>1123000</v>
      </c>
      <c r="D21" s="18" t="n">
        <v>2128000</v>
      </c>
      <c r="E21" s="16" t="n">
        <f aca="false">C21-D21</f>
        <v>-1005000</v>
      </c>
      <c r="F21" s="14" t="n">
        <v>2063</v>
      </c>
    </row>
    <row r="22" customFormat="false" ht="15" hidden="false" customHeight="true" outlineLevel="0" collapsed="false">
      <c r="A22" s="17" t="n">
        <v>45566</v>
      </c>
      <c r="B22" s="14" t="s">
        <v>35</v>
      </c>
      <c r="C22" s="18" t="n">
        <v>2680000</v>
      </c>
      <c r="D22" s="18" t="n">
        <v>2914000</v>
      </c>
      <c r="E22" s="16" t="n">
        <f aca="false">C22-D22</f>
        <v>-234000</v>
      </c>
      <c r="F22" s="14" t="n">
        <v>1396</v>
      </c>
    </row>
    <row r="23" customFormat="false" ht="15" hidden="false" customHeight="true" outlineLevel="0" collapsed="false">
      <c r="A23" s="17" t="n">
        <v>45566</v>
      </c>
      <c r="B23" s="14" t="s">
        <v>43</v>
      </c>
      <c r="C23" s="18" t="n">
        <v>1725000</v>
      </c>
      <c r="D23" s="18" t="n">
        <v>1828000</v>
      </c>
      <c r="E23" s="16" t="n">
        <f aca="false">C23-D23</f>
        <v>-103000</v>
      </c>
      <c r="F23" s="14" t="n">
        <v>730</v>
      </c>
    </row>
    <row r="24" customFormat="false" ht="15" hidden="false" customHeight="true" outlineLevel="0" collapsed="false">
      <c r="A24" s="17" t="n">
        <v>45566</v>
      </c>
      <c r="B24" s="14" t="s">
        <v>28</v>
      </c>
      <c r="C24" s="18" t="n">
        <v>3477000</v>
      </c>
      <c r="D24" s="18" t="n">
        <v>729000</v>
      </c>
      <c r="E24" s="16" t="n">
        <f aca="false">C24-D24</f>
        <v>2748000</v>
      </c>
      <c r="F24" s="14" t="n">
        <v>782</v>
      </c>
    </row>
    <row r="25" customFormat="false" ht="15" hidden="false" customHeight="true" outlineLevel="0" collapsed="false">
      <c r="A25" s="17" t="n">
        <v>45566</v>
      </c>
      <c r="B25" s="14" t="s">
        <v>20</v>
      </c>
      <c r="C25" s="18" t="n">
        <v>2460000</v>
      </c>
      <c r="D25" s="18" t="n">
        <v>2153000</v>
      </c>
      <c r="E25" s="16" t="n">
        <f aca="false">C25-D25</f>
        <v>307000</v>
      </c>
      <c r="F25" s="14" t="n">
        <v>1944</v>
      </c>
    </row>
    <row r="26" customFormat="false" ht="15" hidden="false" customHeight="true" outlineLevel="0" collapsed="false">
      <c r="A26" s="17" t="n">
        <v>45597</v>
      </c>
      <c r="B26" s="14" t="s">
        <v>37</v>
      </c>
      <c r="C26" s="18" t="n">
        <v>3063000</v>
      </c>
      <c r="D26" s="18" t="n">
        <v>2549000</v>
      </c>
      <c r="E26" s="16" t="n">
        <f aca="false">C26-D26</f>
        <v>514000</v>
      </c>
      <c r="F26" s="14" t="n">
        <v>629</v>
      </c>
    </row>
    <row r="27" customFormat="false" ht="15" hidden="false" customHeight="true" outlineLevel="0" collapsed="false">
      <c r="A27" s="17" t="n">
        <v>45597</v>
      </c>
      <c r="B27" s="14" t="s">
        <v>25</v>
      </c>
      <c r="C27" s="18" t="n">
        <v>3408000</v>
      </c>
      <c r="D27" s="18" t="n">
        <v>638000</v>
      </c>
      <c r="E27" s="16" t="n">
        <f aca="false">C27-D27</f>
        <v>2770000</v>
      </c>
      <c r="F27" s="14" t="n">
        <v>1101</v>
      </c>
    </row>
    <row r="28" customFormat="false" ht="15" hidden="false" customHeight="true" outlineLevel="0" collapsed="false">
      <c r="A28" s="17" t="n">
        <v>45597</v>
      </c>
      <c r="B28" s="14" t="s">
        <v>35</v>
      </c>
      <c r="C28" s="18" t="n">
        <v>1138000</v>
      </c>
      <c r="D28" s="18" t="n">
        <v>2647000</v>
      </c>
      <c r="E28" s="16" t="n">
        <f aca="false">C28-D28</f>
        <v>-1509000</v>
      </c>
      <c r="F28" s="14" t="n">
        <v>2177</v>
      </c>
    </row>
    <row r="29" customFormat="false" ht="15" hidden="false" customHeight="true" outlineLevel="0" collapsed="false">
      <c r="A29" s="17" t="n">
        <v>45597</v>
      </c>
      <c r="B29" s="14" t="s">
        <v>43</v>
      </c>
      <c r="C29" s="18" t="n">
        <v>3441000</v>
      </c>
      <c r="D29" s="18" t="n">
        <v>1956000</v>
      </c>
      <c r="E29" s="16" t="n">
        <f aca="false">C29-D29</f>
        <v>1485000</v>
      </c>
      <c r="F29" s="14" t="n">
        <v>790</v>
      </c>
    </row>
    <row r="30" customFormat="false" ht="15" hidden="false" customHeight="true" outlineLevel="0" collapsed="false">
      <c r="A30" s="17" t="n">
        <v>45597</v>
      </c>
      <c r="B30" s="14" t="s">
        <v>28</v>
      </c>
      <c r="C30" s="18" t="n">
        <v>2963000</v>
      </c>
      <c r="D30" s="18" t="n">
        <v>774000</v>
      </c>
      <c r="E30" s="16" t="n">
        <f aca="false">C30-D30</f>
        <v>2189000</v>
      </c>
      <c r="F30" s="14" t="n">
        <v>1341</v>
      </c>
    </row>
    <row r="31" customFormat="false" ht="15" hidden="false" customHeight="true" outlineLevel="0" collapsed="false">
      <c r="A31" s="17" t="n">
        <v>45597</v>
      </c>
      <c r="B31" s="14" t="s">
        <v>20</v>
      </c>
      <c r="C31" s="18" t="n">
        <v>1665000</v>
      </c>
      <c r="D31" s="18" t="n">
        <v>2921000</v>
      </c>
      <c r="E31" s="16" t="n">
        <f aca="false">C31-D31</f>
        <v>-1256000</v>
      </c>
      <c r="F31" s="14" t="n">
        <v>2347</v>
      </c>
    </row>
    <row r="32" customFormat="false" ht="15" hidden="false" customHeight="true" outlineLevel="0" collapsed="false">
      <c r="A32" s="17" t="n">
        <v>45627</v>
      </c>
      <c r="B32" s="14" t="s">
        <v>37</v>
      </c>
      <c r="C32" s="18" t="n">
        <v>1910000</v>
      </c>
      <c r="D32" s="18" t="n">
        <v>790000</v>
      </c>
      <c r="E32" s="16" t="n">
        <f aca="false">C32-D32</f>
        <v>1120000</v>
      </c>
      <c r="F32" s="14" t="n">
        <v>704</v>
      </c>
    </row>
    <row r="33" customFormat="false" ht="15" hidden="false" customHeight="true" outlineLevel="0" collapsed="false">
      <c r="A33" s="17" t="n">
        <v>45627</v>
      </c>
      <c r="B33" s="14" t="s">
        <v>25</v>
      </c>
      <c r="C33" s="18" t="n">
        <v>1948000</v>
      </c>
      <c r="D33" s="18" t="n">
        <v>2824000</v>
      </c>
      <c r="E33" s="16" t="n">
        <f aca="false">C33-D33</f>
        <v>-876000</v>
      </c>
      <c r="F33" s="14" t="n">
        <v>534</v>
      </c>
    </row>
    <row r="34" customFormat="false" ht="15" hidden="false" customHeight="true" outlineLevel="0" collapsed="false">
      <c r="A34" s="17" t="n">
        <v>45627</v>
      </c>
      <c r="B34" s="14" t="s">
        <v>35</v>
      </c>
      <c r="C34" s="18" t="n">
        <v>1534000</v>
      </c>
      <c r="D34" s="18" t="n">
        <v>1888000</v>
      </c>
      <c r="E34" s="16" t="n">
        <f aca="false">C34-D34</f>
        <v>-354000</v>
      </c>
      <c r="F34" s="14" t="n">
        <v>464</v>
      </c>
    </row>
    <row r="35" customFormat="false" ht="15" hidden="false" customHeight="true" outlineLevel="0" collapsed="false">
      <c r="A35" s="17" t="n">
        <v>45627</v>
      </c>
      <c r="B35" s="14" t="s">
        <v>43</v>
      </c>
      <c r="C35" s="18" t="n">
        <v>1648000</v>
      </c>
      <c r="D35" s="18" t="n">
        <v>3004000</v>
      </c>
      <c r="E35" s="16" t="n">
        <f aca="false">C35-D35</f>
        <v>-1356000</v>
      </c>
      <c r="F35" s="14" t="n">
        <v>990</v>
      </c>
    </row>
    <row r="36" customFormat="false" ht="15" hidden="false" customHeight="true" outlineLevel="0" collapsed="false">
      <c r="A36" s="17" t="n">
        <v>45627</v>
      </c>
      <c r="B36" s="14" t="s">
        <v>28</v>
      </c>
      <c r="C36" s="18" t="n">
        <v>2431000</v>
      </c>
      <c r="D36" s="18" t="n">
        <v>915000</v>
      </c>
      <c r="E36" s="16" t="n">
        <f aca="false">C36-D36</f>
        <v>1516000</v>
      </c>
      <c r="F36" s="14" t="n">
        <v>1625</v>
      </c>
    </row>
    <row r="37" customFormat="false" ht="15" hidden="false" customHeight="true" outlineLevel="0" collapsed="false">
      <c r="A37" s="17" t="n">
        <v>45627</v>
      </c>
      <c r="B37" s="14" t="s">
        <v>20</v>
      </c>
      <c r="C37" s="18" t="n">
        <v>1465000</v>
      </c>
      <c r="D37" s="18" t="n">
        <v>2909000</v>
      </c>
      <c r="E37" s="16" t="n">
        <f aca="false">C37-D37</f>
        <v>-1444000</v>
      </c>
      <c r="F37" s="14" t="n">
        <v>1384</v>
      </c>
    </row>
    <row r="38" customFormat="false" ht="15" hidden="false" customHeight="true" outlineLevel="0" collapsed="false">
      <c r="A38" s="17" t="n">
        <v>45658</v>
      </c>
      <c r="B38" s="14" t="s">
        <v>37</v>
      </c>
      <c r="C38" s="18" t="n">
        <v>3121000</v>
      </c>
      <c r="D38" s="18" t="n">
        <v>2193000</v>
      </c>
      <c r="E38" s="16" t="n">
        <f aca="false">C38-D38</f>
        <v>928000</v>
      </c>
      <c r="F38" s="14" t="n">
        <v>1758</v>
      </c>
    </row>
    <row r="39" customFormat="false" ht="15" hidden="false" customHeight="true" outlineLevel="0" collapsed="false">
      <c r="A39" s="17" t="n">
        <v>45658</v>
      </c>
      <c r="B39" s="14" t="s">
        <v>25</v>
      </c>
      <c r="C39" s="18" t="n">
        <v>2372000</v>
      </c>
      <c r="D39" s="18" t="n">
        <v>1173000</v>
      </c>
      <c r="E39" s="16" t="n">
        <f aca="false">C39-D39</f>
        <v>1199000</v>
      </c>
      <c r="F39" s="14" t="n">
        <v>721</v>
      </c>
    </row>
    <row r="40" customFormat="false" ht="15" hidden="false" customHeight="true" outlineLevel="0" collapsed="false">
      <c r="A40" s="17" t="n">
        <v>45658</v>
      </c>
      <c r="B40" s="14" t="s">
        <v>35</v>
      </c>
      <c r="C40" s="18" t="n">
        <v>2851000</v>
      </c>
      <c r="D40" s="18" t="n">
        <v>2016000</v>
      </c>
      <c r="E40" s="16" t="n">
        <f aca="false">C40-D40</f>
        <v>835000</v>
      </c>
      <c r="F40" s="14" t="n">
        <v>619</v>
      </c>
    </row>
    <row r="41" customFormat="false" ht="15" hidden="false" customHeight="true" outlineLevel="0" collapsed="false">
      <c r="A41" s="17" t="n">
        <v>45658</v>
      </c>
      <c r="B41" s="14" t="s">
        <v>43</v>
      </c>
      <c r="C41" s="18" t="n">
        <v>1200000</v>
      </c>
      <c r="D41" s="18" t="n">
        <v>2390000</v>
      </c>
      <c r="E41" s="16" t="n">
        <f aca="false">C41-D41</f>
        <v>-1190000</v>
      </c>
      <c r="F41" s="14" t="n">
        <v>1350</v>
      </c>
    </row>
    <row r="42" customFormat="false" ht="15" hidden="false" customHeight="true" outlineLevel="0" collapsed="false">
      <c r="A42" s="17" t="n">
        <v>45658</v>
      </c>
      <c r="B42" s="14" t="s">
        <v>28</v>
      </c>
      <c r="C42" s="18" t="n">
        <v>1111000</v>
      </c>
      <c r="D42" s="18" t="n">
        <v>1995000</v>
      </c>
      <c r="E42" s="16" t="n">
        <f aca="false">C42-D42</f>
        <v>-884000</v>
      </c>
      <c r="F42" s="14" t="n">
        <v>2024</v>
      </c>
    </row>
    <row r="43" customFormat="false" ht="15" hidden="false" customHeight="true" outlineLevel="0" collapsed="false">
      <c r="A43" s="17" t="n">
        <v>45658</v>
      </c>
      <c r="B43" s="14" t="s">
        <v>20</v>
      </c>
      <c r="C43" s="18" t="n">
        <v>2136000</v>
      </c>
      <c r="D43" s="18" t="n">
        <v>721000</v>
      </c>
      <c r="E43" s="16" t="n">
        <f aca="false">C43-D43</f>
        <v>1415000</v>
      </c>
      <c r="F43" s="14" t="n">
        <v>1519</v>
      </c>
    </row>
    <row r="44" customFormat="false" ht="15" hidden="false" customHeight="true" outlineLevel="0" collapsed="false">
      <c r="A44" s="17" t="n">
        <v>45689</v>
      </c>
      <c r="B44" s="14" t="s">
        <v>37</v>
      </c>
      <c r="C44" s="18" t="n">
        <v>2645000</v>
      </c>
      <c r="D44" s="18" t="n">
        <v>2609000</v>
      </c>
      <c r="E44" s="16" t="n">
        <f aca="false">C44-D44</f>
        <v>36000</v>
      </c>
      <c r="F44" s="14" t="n">
        <v>1334</v>
      </c>
    </row>
    <row r="45" customFormat="false" ht="15" hidden="false" customHeight="true" outlineLevel="0" collapsed="false">
      <c r="A45" s="17" t="n">
        <v>45689</v>
      </c>
      <c r="B45" s="14" t="s">
        <v>25</v>
      </c>
      <c r="C45" s="18" t="n">
        <v>2257000</v>
      </c>
      <c r="D45" s="18" t="n">
        <v>2865000</v>
      </c>
      <c r="E45" s="16" t="n">
        <f aca="false">C45-D45</f>
        <v>-608000</v>
      </c>
      <c r="F45" s="14" t="n">
        <v>1937</v>
      </c>
    </row>
    <row r="46" customFormat="false" ht="15" hidden="false" customHeight="true" outlineLevel="0" collapsed="false">
      <c r="A46" s="17" t="n">
        <v>45689</v>
      </c>
      <c r="B46" s="14" t="s">
        <v>35</v>
      </c>
      <c r="C46" s="18" t="n">
        <v>2568000</v>
      </c>
      <c r="D46" s="18" t="n">
        <v>1360000</v>
      </c>
      <c r="E46" s="16" t="n">
        <f aca="false">C46-D46</f>
        <v>1208000</v>
      </c>
      <c r="F46" s="14" t="n">
        <v>1956</v>
      </c>
    </row>
    <row r="47" customFormat="false" ht="15" hidden="false" customHeight="true" outlineLevel="0" collapsed="false">
      <c r="A47" s="17" t="n">
        <v>45689</v>
      </c>
      <c r="B47" s="14" t="s">
        <v>43</v>
      </c>
      <c r="C47" s="18" t="n">
        <v>1151000</v>
      </c>
      <c r="D47" s="18" t="n">
        <v>3133000</v>
      </c>
      <c r="E47" s="16" t="n">
        <f aca="false">C47-D47</f>
        <v>-1982000</v>
      </c>
      <c r="F47" s="14" t="n">
        <v>1609</v>
      </c>
    </row>
    <row r="48" customFormat="false" ht="15" hidden="false" customHeight="true" outlineLevel="0" collapsed="false">
      <c r="A48" s="17" t="n">
        <v>45689</v>
      </c>
      <c r="B48" s="14" t="s">
        <v>28</v>
      </c>
      <c r="C48" s="18" t="n">
        <v>1809000</v>
      </c>
      <c r="D48" s="18" t="n">
        <v>901000</v>
      </c>
      <c r="E48" s="16" t="n">
        <f aca="false">C48-D48</f>
        <v>908000</v>
      </c>
      <c r="F48" s="14" t="n">
        <v>736</v>
      </c>
    </row>
    <row r="49" customFormat="false" ht="15" hidden="false" customHeight="true" outlineLevel="0" collapsed="false">
      <c r="A49" s="17" t="n">
        <v>45689</v>
      </c>
      <c r="B49" s="14" t="s">
        <v>20</v>
      </c>
      <c r="C49" s="18" t="n">
        <v>1897000</v>
      </c>
      <c r="D49" s="18" t="n">
        <v>1231000</v>
      </c>
      <c r="E49" s="16" t="n">
        <f aca="false">C49-D49</f>
        <v>666000</v>
      </c>
      <c r="F49" s="14" t="n">
        <v>1956</v>
      </c>
    </row>
    <row r="50" customFormat="false" ht="15" hidden="false" customHeight="true" outlineLevel="0" collapsed="false">
      <c r="A50" s="17" t="n">
        <v>45717</v>
      </c>
      <c r="B50" s="14" t="s">
        <v>37</v>
      </c>
      <c r="C50" s="18" t="n">
        <v>3396000</v>
      </c>
      <c r="D50" s="18" t="n">
        <v>1231000</v>
      </c>
      <c r="E50" s="16" t="n">
        <f aca="false">C50-D50</f>
        <v>2165000</v>
      </c>
      <c r="F50" s="14" t="n">
        <v>1995</v>
      </c>
    </row>
    <row r="51" customFormat="false" ht="15" hidden="false" customHeight="true" outlineLevel="0" collapsed="false">
      <c r="A51" s="17" t="n">
        <v>45717</v>
      </c>
      <c r="B51" s="14" t="s">
        <v>25</v>
      </c>
      <c r="C51" s="18" t="n">
        <v>2097000</v>
      </c>
      <c r="D51" s="18" t="n">
        <v>2077000</v>
      </c>
      <c r="E51" s="16" t="n">
        <f aca="false">C51-D51</f>
        <v>20000</v>
      </c>
      <c r="F51" s="14" t="n">
        <v>836</v>
      </c>
    </row>
    <row r="52" customFormat="false" ht="15" hidden="false" customHeight="true" outlineLevel="0" collapsed="false">
      <c r="A52" s="17" t="n">
        <v>45717</v>
      </c>
      <c r="B52" s="14" t="s">
        <v>35</v>
      </c>
      <c r="C52" s="18" t="n">
        <v>1174000</v>
      </c>
      <c r="D52" s="18" t="n">
        <v>621000</v>
      </c>
      <c r="E52" s="16" t="n">
        <f aca="false">C52-D52</f>
        <v>553000</v>
      </c>
      <c r="F52" s="14" t="n">
        <v>1662</v>
      </c>
    </row>
    <row r="53" customFormat="false" ht="15" hidden="false" customHeight="true" outlineLevel="0" collapsed="false">
      <c r="A53" s="17" t="n">
        <v>45717</v>
      </c>
      <c r="B53" s="14" t="s">
        <v>43</v>
      </c>
      <c r="C53" s="18" t="n">
        <v>2621000</v>
      </c>
      <c r="D53" s="18" t="n">
        <v>2074000</v>
      </c>
      <c r="E53" s="16" t="n">
        <f aca="false">C53-D53</f>
        <v>547000</v>
      </c>
      <c r="F53" s="14" t="n">
        <v>1504</v>
      </c>
    </row>
    <row r="54" customFormat="false" ht="15" hidden="false" customHeight="true" outlineLevel="0" collapsed="false">
      <c r="A54" s="17" t="n">
        <v>45717</v>
      </c>
      <c r="B54" s="14" t="s">
        <v>28</v>
      </c>
      <c r="C54" s="18" t="n">
        <v>1218000</v>
      </c>
      <c r="D54" s="18" t="n">
        <v>1142000</v>
      </c>
      <c r="E54" s="16" t="n">
        <f aca="false">C54-D54</f>
        <v>76000</v>
      </c>
      <c r="F54" s="14" t="n">
        <v>757</v>
      </c>
    </row>
    <row r="55" customFormat="false" ht="15" hidden="false" customHeight="true" outlineLevel="0" collapsed="false">
      <c r="A55" s="17" t="n">
        <v>45717</v>
      </c>
      <c r="B55" s="14" t="s">
        <v>20</v>
      </c>
      <c r="C55" s="18" t="n">
        <v>1567000</v>
      </c>
      <c r="D55" s="18" t="n">
        <v>2365000</v>
      </c>
      <c r="E55" s="16" t="n">
        <f aca="false">C55-D55</f>
        <v>-798000</v>
      </c>
      <c r="F55" s="14" t="n">
        <v>2238</v>
      </c>
    </row>
    <row r="56" customFormat="false" ht="15" hidden="false" customHeight="true" outlineLevel="0" collapsed="false">
      <c r="A56" s="17" t="n">
        <v>45748</v>
      </c>
      <c r="B56" s="14" t="s">
        <v>37</v>
      </c>
      <c r="C56" s="18" t="n">
        <v>3081000</v>
      </c>
      <c r="D56" s="18" t="n">
        <v>2872000</v>
      </c>
      <c r="E56" s="16" t="n">
        <f aca="false">C56-D56</f>
        <v>209000</v>
      </c>
      <c r="F56" s="14" t="n">
        <v>2498</v>
      </c>
    </row>
    <row r="57" customFormat="false" ht="15" hidden="false" customHeight="true" outlineLevel="0" collapsed="false">
      <c r="A57" s="17" t="n">
        <v>45748</v>
      </c>
      <c r="B57" s="14" t="s">
        <v>25</v>
      </c>
      <c r="C57" s="18" t="n">
        <v>2471000</v>
      </c>
      <c r="D57" s="18" t="n">
        <v>1023000</v>
      </c>
      <c r="E57" s="16" t="n">
        <f aca="false">C57-D57</f>
        <v>1448000</v>
      </c>
      <c r="F57" s="14" t="n">
        <v>507</v>
      </c>
    </row>
    <row r="58" customFormat="false" ht="15" hidden="false" customHeight="true" outlineLevel="0" collapsed="false">
      <c r="A58" s="17" t="n">
        <v>45748</v>
      </c>
      <c r="B58" s="14" t="s">
        <v>35</v>
      </c>
      <c r="C58" s="18" t="n">
        <v>1167000</v>
      </c>
      <c r="D58" s="18" t="n">
        <v>2049000</v>
      </c>
      <c r="E58" s="16" t="n">
        <f aca="false">C58-D58</f>
        <v>-882000</v>
      </c>
      <c r="F58" s="14" t="n">
        <v>781</v>
      </c>
    </row>
    <row r="59" customFormat="false" ht="15" hidden="false" customHeight="true" outlineLevel="0" collapsed="false">
      <c r="A59" s="17" t="n">
        <v>45748</v>
      </c>
      <c r="B59" s="14" t="s">
        <v>43</v>
      </c>
      <c r="C59" s="18" t="n">
        <v>3245000</v>
      </c>
      <c r="D59" s="18" t="n">
        <v>3049000</v>
      </c>
      <c r="E59" s="16" t="n">
        <f aca="false">C59-D59</f>
        <v>196000</v>
      </c>
      <c r="F59" s="14" t="n">
        <v>1728</v>
      </c>
    </row>
    <row r="60" customFormat="false" ht="15" hidden="false" customHeight="true" outlineLevel="0" collapsed="false">
      <c r="A60" s="17" t="n">
        <v>45748</v>
      </c>
      <c r="B60" s="14" t="s">
        <v>28</v>
      </c>
      <c r="C60" s="18" t="n">
        <v>2377000</v>
      </c>
      <c r="D60" s="18" t="n">
        <v>650000</v>
      </c>
      <c r="E60" s="16" t="n">
        <f aca="false">C60-D60</f>
        <v>1727000</v>
      </c>
      <c r="F60" s="14" t="n">
        <v>1595</v>
      </c>
    </row>
    <row r="61" customFormat="false" ht="15" hidden="false" customHeight="true" outlineLevel="0" collapsed="false">
      <c r="A61" s="17" t="n">
        <v>45748</v>
      </c>
      <c r="B61" s="14" t="s">
        <v>20</v>
      </c>
      <c r="C61" s="18" t="n">
        <v>2494000</v>
      </c>
      <c r="D61" s="18" t="n">
        <v>2188000</v>
      </c>
      <c r="E61" s="16" t="n">
        <f aca="false">C61-D61</f>
        <v>306000</v>
      </c>
      <c r="F61" s="14" t="n">
        <v>746</v>
      </c>
    </row>
    <row r="62" customFormat="false" ht="15" hidden="false" customHeight="true" outlineLevel="0" collapsed="false">
      <c r="A62" s="17" t="n">
        <v>45778</v>
      </c>
      <c r="B62" s="14" t="s">
        <v>37</v>
      </c>
      <c r="C62" s="18" t="n">
        <v>3091000</v>
      </c>
      <c r="D62" s="18" t="n">
        <v>1594000</v>
      </c>
      <c r="E62" s="16" t="n">
        <f aca="false">C62-D62</f>
        <v>1497000</v>
      </c>
      <c r="F62" s="14" t="n">
        <v>1094</v>
      </c>
    </row>
    <row r="63" customFormat="false" ht="15" hidden="false" customHeight="true" outlineLevel="0" collapsed="false">
      <c r="A63" s="17" t="n">
        <v>45778</v>
      </c>
      <c r="B63" s="14" t="s">
        <v>25</v>
      </c>
      <c r="C63" s="18" t="n">
        <v>2359000</v>
      </c>
      <c r="D63" s="18" t="n">
        <v>1294000</v>
      </c>
      <c r="E63" s="16" t="n">
        <f aca="false">C63-D63</f>
        <v>1065000</v>
      </c>
      <c r="F63" s="14" t="n">
        <v>968</v>
      </c>
    </row>
    <row r="64" customFormat="false" ht="15" hidden="false" customHeight="true" outlineLevel="0" collapsed="false">
      <c r="A64" s="17" t="n">
        <v>45778</v>
      </c>
      <c r="B64" s="14" t="s">
        <v>35</v>
      </c>
      <c r="C64" s="18" t="n">
        <v>1901000</v>
      </c>
      <c r="D64" s="18" t="n">
        <v>1833000</v>
      </c>
      <c r="E64" s="16" t="n">
        <f aca="false">C64-D64</f>
        <v>68000</v>
      </c>
      <c r="F64" s="14" t="n">
        <v>1499</v>
      </c>
    </row>
    <row r="65" customFormat="false" ht="15" hidden="false" customHeight="true" outlineLevel="0" collapsed="false">
      <c r="A65" s="17" t="n">
        <v>45778</v>
      </c>
      <c r="B65" s="14" t="s">
        <v>43</v>
      </c>
      <c r="C65" s="18" t="n">
        <v>2819000</v>
      </c>
      <c r="D65" s="18" t="n">
        <v>1197000</v>
      </c>
      <c r="E65" s="16" t="n">
        <f aca="false">C65-D65</f>
        <v>1622000</v>
      </c>
      <c r="F65" s="14" t="n">
        <v>659</v>
      </c>
    </row>
    <row r="66" customFormat="false" ht="15" hidden="false" customHeight="true" outlineLevel="0" collapsed="false">
      <c r="A66" s="17" t="n">
        <v>45778</v>
      </c>
      <c r="B66" s="14" t="s">
        <v>28</v>
      </c>
      <c r="C66" s="18" t="n">
        <v>1484000</v>
      </c>
      <c r="D66" s="18" t="n">
        <v>2380000</v>
      </c>
      <c r="E66" s="16" t="n">
        <f aca="false">C66-D66</f>
        <v>-896000</v>
      </c>
      <c r="F66" s="14" t="n">
        <v>1530</v>
      </c>
    </row>
    <row r="67" customFormat="false" ht="15" hidden="false" customHeight="true" outlineLevel="0" collapsed="false">
      <c r="A67" s="17" t="n">
        <v>45778</v>
      </c>
      <c r="B67" s="14" t="s">
        <v>20</v>
      </c>
      <c r="C67" s="18" t="n">
        <v>2524000</v>
      </c>
      <c r="D67" s="18" t="n">
        <v>1827000</v>
      </c>
      <c r="E67" s="16" t="n">
        <f aca="false">C67-D67</f>
        <v>697000</v>
      </c>
      <c r="F67" s="14" t="n">
        <v>2383</v>
      </c>
    </row>
    <row r="68" customFormat="false" ht="15" hidden="false" customHeight="true" outlineLevel="0" collapsed="false">
      <c r="A68" s="17" t="n">
        <v>45809</v>
      </c>
      <c r="B68" s="14" t="s">
        <v>37</v>
      </c>
      <c r="C68" s="18" t="n">
        <v>1115000</v>
      </c>
      <c r="D68" s="18" t="n">
        <v>2079000</v>
      </c>
      <c r="E68" s="16" t="n">
        <f aca="false">C68-D68</f>
        <v>-964000</v>
      </c>
      <c r="F68" s="14" t="n">
        <v>1430</v>
      </c>
    </row>
    <row r="69" customFormat="false" ht="15" hidden="false" customHeight="true" outlineLevel="0" collapsed="false">
      <c r="A69" s="17" t="n">
        <v>45809</v>
      </c>
      <c r="B69" s="14" t="s">
        <v>25</v>
      </c>
      <c r="C69" s="18" t="n">
        <v>1810000</v>
      </c>
      <c r="D69" s="18" t="n">
        <v>3160000</v>
      </c>
      <c r="E69" s="16" t="n">
        <f aca="false">C69-D69</f>
        <v>-1350000</v>
      </c>
      <c r="F69" s="14" t="n">
        <v>2430</v>
      </c>
    </row>
    <row r="70" customFormat="false" ht="15" hidden="false" customHeight="true" outlineLevel="0" collapsed="false">
      <c r="A70" s="17" t="n">
        <v>45809</v>
      </c>
      <c r="B70" s="14" t="s">
        <v>35</v>
      </c>
      <c r="C70" s="18" t="n">
        <v>3232000</v>
      </c>
      <c r="D70" s="18" t="n">
        <v>3125000</v>
      </c>
      <c r="E70" s="16" t="n">
        <f aca="false">C70-D70</f>
        <v>107000</v>
      </c>
      <c r="F70" s="14" t="n">
        <v>1200</v>
      </c>
    </row>
    <row r="71" customFormat="false" ht="15" hidden="false" customHeight="true" outlineLevel="0" collapsed="false">
      <c r="A71" s="17" t="n">
        <v>45809</v>
      </c>
      <c r="B71" s="14" t="s">
        <v>43</v>
      </c>
      <c r="C71" s="18" t="n">
        <v>2675000</v>
      </c>
      <c r="D71" s="18" t="n">
        <v>1038000</v>
      </c>
      <c r="E71" s="16" t="n">
        <f aca="false">C71-D71</f>
        <v>1637000</v>
      </c>
      <c r="F71" s="14" t="n">
        <v>954</v>
      </c>
    </row>
    <row r="72" customFormat="false" ht="15" hidden="false" customHeight="true" outlineLevel="0" collapsed="false">
      <c r="A72" s="17" t="n">
        <v>45809</v>
      </c>
      <c r="B72" s="14" t="s">
        <v>28</v>
      </c>
      <c r="C72" s="18" t="n">
        <v>2047000</v>
      </c>
      <c r="D72" s="18" t="n">
        <v>627000</v>
      </c>
      <c r="E72" s="16" t="n">
        <f aca="false">C72-D72</f>
        <v>1420000</v>
      </c>
      <c r="F72" s="14" t="n">
        <v>2020</v>
      </c>
    </row>
    <row r="73" customFormat="false" ht="15" hidden="false" customHeight="true" outlineLevel="0" collapsed="false">
      <c r="A73" s="17" t="n">
        <v>45809</v>
      </c>
      <c r="B73" s="14" t="s">
        <v>20</v>
      </c>
      <c r="C73" s="18" t="n">
        <v>2160000</v>
      </c>
      <c r="D73" s="18" t="n">
        <v>3140000</v>
      </c>
      <c r="E73" s="16" t="n">
        <f aca="false">C73-D73</f>
        <v>-980000</v>
      </c>
      <c r="F73" s="14" t="n">
        <v>1956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6" min="5" style="1" width="14"/>
    <col collapsed="false" customWidth="true" hidden="false" outlineLevel="0" max="9" min="8" style="1" width="14"/>
    <col collapsed="false" customWidth="true" hidden="false" outlineLevel="0" max="13" min="11" style="1" width="14"/>
    <col collapsed="false" customWidth="true" hidden="false" outlineLevel="0" max="18" min="15" style="0" width="13"/>
  </cols>
  <sheetData>
    <row r="1" customFormat="false" ht="15" hidden="false" customHeight="true" outlineLevel="0" collapsed="false">
      <c r="A1" s="19" t="s">
        <v>13</v>
      </c>
      <c r="B1" s="19" t="s">
        <v>261</v>
      </c>
      <c r="C1" s="19" t="s">
        <v>262</v>
      </c>
      <c r="E1" s="19" t="s">
        <v>15</v>
      </c>
      <c r="F1" s="19" t="s">
        <v>261</v>
      </c>
      <c r="H1" s="19" t="s">
        <v>14</v>
      </c>
      <c r="I1" s="19" t="s">
        <v>262</v>
      </c>
      <c r="K1" s="19" t="s">
        <v>256</v>
      </c>
      <c r="L1" s="19" t="s">
        <v>263</v>
      </c>
      <c r="M1" s="19" t="s">
        <v>264</v>
      </c>
      <c r="O1" s="20" t="s">
        <v>13</v>
      </c>
      <c r="P1" s="20" t="s">
        <v>263</v>
      </c>
      <c r="Q1" s="20" t="s">
        <v>265</v>
      </c>
      <c r="R1" s="20" t="s">
        <v>266</v>
      </c>
    </row>
    <row r="2" customFormat="false" ht="15" hidden="false" customHeight="true" outlineLevel="0" collapsed="false">
      <c r="A2" s="21" t="s">
        <v>37</v>
      </c>
      <c r="B2" s="22" t="n">
        <f aca="false">SUMIFS(Accounts!$G:$G,Accounts!$C:$C,A2)</f>
        <v>5659000</v>
      </c>
      <c r="C2" s="21" t="n">
        <f aca="false">COUNTIFS(Accounts!$C:$C,A2)</f>
        <v>55</v>
      </c>
      <c r="E2" s="21" t="s">
        <v>31</v>
      </c>
      <c r="F2" s="22" t="n">
        <f aca="false">SUMIFS(Accounts!$G:$G,Accounts!$E:$E,E2)</f>
        <v>18958000</v>
      </c>
      <c r="H2" s="21" t="s">
        <v>21</v>
      </c>
      <c r="I2" s="21" t="n">
        <f aca="false">COUNTIFS(Accounts!$D:$D,H2)</f>
        <v>179</v>
      </c>
      <c r="K2" s="23" t="n">
        <v>45474</v>
      </c>
      <c r="L2" s="22" t="n">
        <f aca="false">SUMIFS(Transactions!$C:$C,Transactions!$A:$A,K2)</f>
        <v>13378000</v>
      </c>
      <c r="M2" s="22" t="n">
        <f aca="false">SUMIFS(Transactions!$D:$D,Transactions!$A:$A,K2)</f>
        <v>11476000</v>
      </c>
      <c r="O2" s="24" t="s">
        <v>37</v>
      </c>
      <c r="P2" s="25" t="n">
        <f aca="false">SUMIFS(Accounts!$G:$G,Accounts!$C:$C,O2,Accounts!$G:$G,"&gt;0")</f>
        <v>7316000</v>
      </c>
      <c r="Q2" s="25" t="n">
        <f aca="false">-SUMIFS(Accounts!$G:$G,Accounts!$C:$C,O2,Accounts!$E:$E,"Loan")</f>
        <v>1657000</v>
      </c>
      <c r="R2" s="26" t="n">
        <f aca="false">IF(P2=0,0,Q2/P2)</f>
        <v>0.22648988518316</v>
      </c>
    </row>
    <row r="3" customFormat="false" ht="15" hidden="false" customHeight="true" outlineLevel="0" collapsed="false">
      <c r="A3" s="21" t="s">
        <v>25</v>
      </c>
      <c r="B3" s="22" t="n">
        <f aca="false">SUMIFS(Accounts!$G:$G,Accounts!$C:$C,A3)</f>
        <v>6747000</v>
      </c>
      <c r="C3" s="21" t="n">
        <f aca="false">COUNTIFS(Accounts!$C:$C,A3)</f>
        <v>45</v>
      </c>
      <c r="E3" s="21" t="s">
        <v>22</v>
      </c>
      <c r="F3" s="22" t="n">
        <f aca="false">SUMIFS(Accounts!$G:$G,Accounts!$E:$E,E3)</f>
        <v>9852000</v>
      </c>
      <c r="H3" s="21" t="s">
        <v>30</v>
      </c>
      <c r="I3" s="21" t="n">
        <f aca="false">COUNTIFS(Accounts!$D:$D,H3)</f>
        <v>93</v>
      </c>
      <c r="K3" s="23" t="n">
        <v>45505</v>
      </c>
      <c r="L3" s="22" t="n">
        <f aca="false">SUMIFS(Transactions!$C:$C,Transactions!$A:$A,K3)</f>
        <v>10962000</v>
      </c>
      <c r="M3" s="22" t="n">
        <f aca="false">SUMIFS(Transactions!$D:$D,Transactions!$A:$A,K3)</f>
        <v>11143000</v>
      </c>
      <c r="O3" s="24" t="s">
        <v>25</v>
      </c>
      <c r="P3" s="25" t="n">
        <f aca="false">SUMIFS(Accounts!$G:$G,Accounts!$C:$C,O3,Accounts!$G:$G,"&gt;0")</f>
        <v>7392000</v>
      </c>
      <c r="Q3" s="25" t="n">
        <f aca="false">-SUMIFS(Accounts!$G:$G,Accounts!$C:$C,O3,Accounts!$E:$E,"Loan")</f>
        <v>645000</v>
      </c>
      <c r="R3" s="26" t="n">
        <f aca="false">IF(P3=0,0,Q3/P3)</f>
        <v>0.0872564935064935</v>
      </c>
    </row>
    <row r="4" customFormat="false" ht="15" hidden="false" customHeight="true" outlineLevel="0" collapsed="false">
      <c r="A4" s="21" t="s">
        <v>35</v>
      </c>
      <c r="B4" s="22" t="n">
        <f aca="false">SUMIFS(Accounts!$G:$G,Accounts!$C:$C,A4)</f>
        <v>4439000</v>
      </c>
      <c r="C4" s="21" t="n">
        <f aca="false">COUNTIFS(Accounts!$C:$C,A4)</f>
        <v>47</v>
      </c>
      <c r="E4" s="21" t="s">
        <v>26</v>
      </c>
      <c r="F4" s="22" t="n">
        <f aca="false">SUMIFS(Accounts!$G:$G,Accounts!$E:$E,E4)</f>
        <v>9563000</v>
      </c>
      <c r="H4" s="21" t="s">
        <v>52</v>
      </c>
      <c r="I4" s="21" t="n">
        <f aca="false">COUNTIFS(Accounts!$D:$D,H4)</f>
        <v>48</v>
      </c>
      <c r="K4" s="23" t="n">
        <v>45536</v>
      </c>
      <c r="L4" s="22" t="n">
        <f aca="false">SUMIFS(Transactions!$C:$C,Transactions!$A:$A,K4)</f>
        <v>10551000</v>
      </c>
      <c r="M4" s="22" t="n">
        <f aca="false">SUMIFS(Transactions!$D:$D,Transactions!$A:$A,K4)</f>
        <v>9964000</v>
      </c>
      <c r="O4" s="24" t="s">
        <v>35</v>
      </c>
      <c r="P4" s="25" t="n">
        <f aca="false">SUMIFS(Accounts!$G:$G,Accounts!$C:$C,O4,Accounts!$G:$G,"&gt;0")</f>
        <v>4960000</v>
      </c>
      <c r="Q4" s="25" t="n">
        <f aca="false">-SUMIFS(Accounts!$G:$G,Accounts!$C:$C,O4,Accounts!$E:$E,"Loan")</f>
        <v>521000</v>
      </c>
      <c r="R4" s="26" t="n">
        <f aca="false">IF(P4=0,0,Q4/P4)</f>
        <v>0.105040322580645</v>
      </c>
    </row>
    <row r="5" customFormat="false" ht="15" hidden="false" customHeight="true" outlineLevel="0" collapsed="false">
      <c r="A5" s="21" t="s">
        <v>43</v>
      </c>
      <c r="B5" s="22" t="n">
        <f aca="false">SUMIFS(Accounts!$G:$G,Accounts!$C:$C,A5)</f>
        <v>5194000</v>
      </c>
      <c r="C5" s="21" t="n">
        <f aca="false">COUNTIFS(Accounts!$C:$C,A5)</f>
        <v>53</v>
      </c>
      <c r="E5" s="21" t="s">
        <v>33</v>
      </c>
      <c r="F5" s="22" t="n">
        <f aca="false">SUMIFS(Accounts!$G:$G,Accounts!$E:$E,E5)</f>
        <v>-7312000</v>
      </c>
      <c r="K5" s="23" t="n">
        <v>45566</v>
      </c>
      <c r="L5" s="22" t="n">
        <f aca="false">SUMIFS(Transactions!$C:$C,Transactions!$A:$A,K5)</f>
        <v>13716000</v>
      </c>
      <c r="M5" s="22" t="n">
        <f aca="false">SUMIFS(Transactions!$D:$D,Transactions!$A:$A,K5)</f>
        <v>11446000</v>
      </c>
      <c r="O5" s="24" t="s">
        <v>43</v>
      </c>
      <c r="P5" s="25" t="n">
        <f aca="false">SUMIFS(Accounts!$G:$G,Accounts!$C:$C,O5,Accounts!$G:$G,"&gt;0")</f>
        <v>6399000</v>
      </c>
      <c r="Q5" s="25" t="n">
        <f aca="false">-SUMIFS(Accounts!$G:$G,Accounts!$C:$C,O5,Accounts!$E:$E,"Loan")</f>
        <v>1205000</v>
      </c>
      <c r="R5" s="26" t="n">
        <f aca="false">IF(P5=0,0,Q5/P5)</f>
        <v>0.188310673542741</v>
      </c>
    </row>
    <row r="6" customFormat="false" ht="15" hidden="false" customHeight="true" outlineLevel="0" collapsed="false">
      <c r="A6" s="21" t="s">
        <v>28</v>
      </c>
      <c r="B6" s="22" t="n">
        <f aca="false">SUMIFS(Accounts!$G:$G,Accounts!$C:$C,A6)</f>
        <v>4433000</v>
      </c>
      <c r="C6" s="21" t="n">
        <f aca="false">COUNTIFS(Accounts!$C:$C,A6)</f>
        <v>55</v>
      </c>
      <c r="K6" s="23" t="n">
        <v>45597</v>
      </c>
      <c r="L6" s="22" t="n">
        <f aca="false">SUMIFS(Transactions!$C:$C,Transactions!$A:$A,K6)</f>
        <v>15678000</v>
      </c>
      <c r="M6" s="22" t="n">
        <f aca="false">SUMIFS(Transactions!$D:$D,Transactions!$A:$A,K6)</f>
        <v>11485000</v>
      </c>
      <c r="O6" s="24" t="s">
        <v>28</v>
      </c>
      <c r="P6" s="25" t="n">
        <f aca="false">SUMIFS(Accounts!$G:$G,Accounts!$C:$C,O6,Accounts!$G:$G,"&gt;0")</f>
        <v>5873000</v>
      </c>
      <c r="Q6" s="25" t="n">
        <f aca="false">-SUMIFS(Accounts!$G:$G,Accounts!$C:$C,O6,Accounts!$E:$E,"Loan")</f>
        <v>1440000</v>
      </c>
      <c r="R6" s="26" t="n">
        <f aca="false">IF(P6=0,0,Q6/P6)</f>
        <v>0.245189851864465</v>
      </c>
    </row>
    <row r="7" customFormat="false" ht="15" hidden="false" customHeight="true" outlineLevel="0" collapsed="false">
      <c r="A7" s="21" t="s">
        <v>20</v>
      </c>
      <c r="B7" s="22" t="n">
        <f aca="false">SUMIFS(Accounts!$G:$G,Accounts!$C:$C,A7)</f>
        <v>4589000</v>
      </c>
      <c r="C7" s="21" t="n">
        <f aca="false">COUNTIFS(Accounts!$C:$C,A7)</f>
        <v>65</v>
      </c>
      <c r="K7" s="23" t="n">
        <v>45627</v>
      </c>
      <c r="L7" s="22" t="n">
        <f aca="false">SUMIFS(Transactions!$C:$C,Transactions!$A:$A,K7)</f>
        <v>10936000</v>
      </c>
      <c r="M7" s="22" t="n">
        <f aca="false">SUMIFS(Transactions!$D:$D,Transactions!$A:$A,K7)</f>
        <v>12330000</v>
      </c>
      <c r="O7" s="24" t="s">
        <v>20</v>
      </c>
      <c r="P7" s="25" t="n">
        <f aca="false">SUMIFS(Accounts!$G:$G,Accounts!$C:$C,O7,Accounts!$G:$G,"&gt;0")</f>
        <v>6433000</v>
      </c>
      <c r="Q7" s="25" t="n">
        <f aca="false">-SUMIFS(Accounts!$G:$G,Accounts!$C:$C,O7,Accounts!$E:$E,"Loan")</f>
        <v>1844000</v>
      </c>
      <c r="R7" s="26" t="n">
        <f aca="false">IF(P7=0,0,Q7/P7)</f>
        <v>0.286646976527281</v>
      </c>
    </row>
    <row r="8" customFormat="false" ht="15" hidden="false" customHeight="true" outlineLevel="0" collapsed="false">
      <c r="K8" s="23" t="n">
        <v>45658</v>
      </c>
      <c r="L8" s="22" t="n">
        <f aca="false">SUMIFS(Transactions!$C:$C,Transactions!$A:$A,K8)</f>
        <v>12791000</v>
      </c>
      <c r="M8" s="22" t="n">
        <f aca="false">SUMIFS(Transactions!$D:$D,Transactions!$A:$A,K8)</f>
        <v>10488000</v>
      </c>
    </row>
    <row r="9" customFormat="false" ht="15" hidden="false" customHeight="true" outlineLevel="0" collapsed="false">
      <c r="K9" s="23" t="n">
        <v>45689</v>
      </c>
      <c r="L9" s="22" t="n">
        <f aca="false">SUMIFS(Transactions!$C:$C,Transactions!$A:$A,K9)</f>
        <v>12327000</v>
      </c>
      <c r="M9" s="22" t="n">
        <f aca="false">SUMIFS(Transactions!$D:$D,Transactions!$A:$A,K9)</f>
        <v>12099000</v>
      </c>
    </row>
    <row r="10" customFormat="false" ht="15" hidden="false" customHeight="true" outlineLevel="0" collapsed="false">
      <c r="K10" s="23" t="n">
        <v>45717</v>
      </c>
      <c r="L10" s="22" t="n">
        <f aca="false">SUMIFS(Transactions!$C:$C,Transactions!$A:$A,K10)</f>
        <v>12073000</v>
      </c>
      <c r="M10" s="22" t="n">
        <f aca="false">SUMIFS(Transactions!$D:$D,Transactions!$A:$A,K10)</f>
        <v>9510000</v>
      </c>
    </row>
    <row r="11" customFormat="false" ht="15" hidden="false" customHeight="true" outlineLevel="0" collapsed="false">
      <c r="K11" s="23" t="n">
        <v>45748</v>
      </c>
      <c r="L11" s="22" t="n">
        <f aca="false">SUMIFS(Transactions!$C:$C,Transactions!$A:$A,K11)</f>
        <v>14835000</v>
      </c>
      <c r="M11" s="22" t="n">
        <f aca="false">SUMIFS(Transactions!$D:$D,Transactions!$A:$A,K11)</f>
        <v>11831000</v>
      </c>
    </row>
    <row r="12" customFormat="false" ht="15" hidden="false" customHeight="true" outlineLevel="0" collapsed="false">
      <c r="K12" s="23" t="n">
        <v>45778</v>
      </c>
      <c r="L12" s="22" t="n">
        <f aca="false">SUMIFS(Transactions!$C:$C,Transactions!$A:$A,K12)</f>
        <v>14178000</v>
      </c>
      <c r="M12" s="22" t="n">
        <f aca="false">SUMIFS(Transactions!$D:$D,Transactions!$A:$A,K12)</f>
        <v>10125000</v>
      </c>
    </row>
    <row r="13" customFormat="false" ht="15" hidden="false" customHeight="true" outlineLevel="0" collapsed="false">
      <c r="K13" s="23" t="n">
        <v>45809</v>
      </c>
      <c r="L13" s="22" t="n">
        <f aca="false">SUMIFS(Transactions!$C:$C,Transactions!$A:$A,K13)</f>
        <v>13039000</v>
      </c>
      <c r="M13" s="22" t="n">
        <f aca="false">SUMIFS(Transactions!$D:$D,Transactions!$A:$A,K13)</f>
        <v>13169000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2026-06-11T07:58:12Z</dcterms:created>
  <dc:creator>openpyxl</dc:creator>
  <dc:description/>
  <dc:language>en-US</dc:language>
  <cp:lastModifiedBy/>
  <dcterms:modified xsi:type="dcterms:W3CDTF">2026-06-11T08:11:04Z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